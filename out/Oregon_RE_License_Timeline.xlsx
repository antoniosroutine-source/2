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<sst xmlns="http://schemas.openxmlformats.org/spreadsheetml/2006/main" count="57" uniqueCount="37">
  <si>
    <t xml:space="preserve">Oregon Real Estate Broker License — Timeline (Oct 12, 2026 → Jan 1, 2027)</t>
  </si>
  <si>
    <t xml:space="preserve">Edit the Start / End dates (blue) and Status — the grid on the right updates automatically. Dates are suggested targets; confirm requirements at oregon.gov/rea.</t>
  </si>
  <si>
    <t xml:space="preserve">Week starting (Mon)</t>
  </si>
  <si>
    <t xml:space="preserve">Task</t>
  </si>
  <si>
    <t xml:space="preserve">Type</t>
  </si>
  <si>
    <t xml:space="preserve">Start</t>
  </si>
  <si>
    <t xml:space="preserve">End</t>
  </si>
  <si>
    <t xml:space="preserve">Days</t>
  </si>
  <si>
    <t xml:space="preserve">Status</t>
  </si>
  <si>
    <t xml:space="preserve">Getting started</t>
  </si>
  <si>
    <t xml:space="preserve">Buy The CE Shop Oregon Broker Pre-License course (confirm OREA approval)</t>
  </si>
  <si>
    <t xml:space="preserve">Setup</t>
  </si>
  <si>
    <t xml:space="preserve">Not started</t>
  </si>
  <si>
    <t xml:space="preserve">Set weekly study schedule (~20 hrs/week)</t>
  </si>
  <si>
    <t xml:space="preserve">Pre-license coursework (~150 hrs)</t>
  </si>
  <si>
    <t xml:space="preserve">Real estate principles &amp; Oregon law</t>
  </si>
  <si>
    <t xml:space="preserve">Course</t>
  </si>
  <si>
    <t xml:space="preserve">Finance &amp; contracts</t>
  </si>
  <si>
    <t xml:space="preserve">Oregon practices, agency &amp; property management</t>
  </si>
  <si>
    <t xml:space="preserve">Pass course final exam / get completion certificate</t>
  </si>
  <si>
    <t xml:space="preserve">Milestone</t>
  </si>
  <si>
    <t xml:space="preserve">State exam</t>
  </si>
  <si>
    <t xml:space="preserve">Create PSI account &amp; schedule the exam</t>
  </si>
  <si>
    <t xml:space="preserve">Exam</t>
  </si>
  <si>
    <t xml:space="preserve">Exam prep: practice tests &amp; weak areas</t>
  </si>
  <si>
    <t xml:space="preserve">Take the Oregon broker exam (PSI)</t>
  </si>
  <si>
    <t xml:space="preserve">Licensing &amp; brokerage</t>
  </si>
  <si>
    <t xml:space="preserve">Research &amp; interview principal brokers</t>
  </si>
  <si>
    <t xml:space="preserve">Career</t>
  </si>
  <si>
    <t xml:space="preserve">Fingerprinting / background check (per OREA instructions)</t>
  </si>
  <si>
    <t xml:space="preserve">Licensing</t>
  </si>
  <si>
    <t xml:space="preserve">Apply for broker license in OREA eLicense &amp; pay fee</t>
  </si>
  <si>
    <t xml:space="preserve">Sign on with principal broker → license active</t>
  </si>
  <si>
    <t xml:space="preserve">Legend</t>
  </si>
  <si>
    <t xml:space="preserve">Task in progress that week</t>
  </si>
  <si>
    <t xml:space="preserve">Task marked Done</t>
  </si>
  <si>
    <t xml:space="preserve">Blue text = dates you can edit. Status uses a dropdown: Not started / In progress / Done.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</si>
</sst>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\ d"/>
    <numFmt numFmtId="166" formatCode="mmm\ d&quot;, &quot;yyyy"/>
    <numFmt numFmtId="167" formatCode="General"/>
    <numFmt numFmtId="168" formatCode=";;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0D0D0"/>
      </patternFill>
    </fill>
    <fill>
      <patternFill patternType="solid">
        <fgColor rgb="FF4472C4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4472C4"/>
        </patternFill>
      </fill>
    </dxf>
    <dxf>
      <font>
        <strike val="1"/>
        <color rgb="FF80808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G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18" min="7" style="0" width="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G3" s="3" t="s">
        <v>2</v>
      </c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5" t="n">
        <v>46307</v>
      </c>
      <c r="H4" s="5" t="n">
        <v>46314</v>
      </c>
      <c r="I4" s="5" t="n">
        <v>46321</v>
      </c>
      <c r="J4" s="5" t="n">
        <v>46328</v>
      </c>
      <c r="K4" s="5" t="n">
        <v>46335</v>
      </c>
      <c r="L4" s="5" t="n">
        <v>46342</v>
      </c>
      <c r="M4" s="5" t="n">
        <v>46349</v>
      </c>
      <c r="N4" s="5" t="n">
        <v>46356</v>
      </c>
      <c r="O4" s="5" t="n">
        <v>46363</v>
      </c>
      <c r="P4" s="5" t="n">
        <v>46370</v>
      </c>
      <c r="Q4" s="5" t="n">
        <v>46377</v>
      </c>
      <c r="R4" s="5" t="n">
        <v>46384</v>
      </c>
    </row>
    <row r="5" customFormat="false" ht="15" hidden="false" customHeight="false" outlineLevel="0" collapsed="false">
      <c r="A5" s="6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customFormat="false" ht="26.85" hidden="false" customHeight="false" outlineLevel="0" collapsed="false">
      <c r="A6" s="8" t="s">
        <v>10</v>
      </c>
      <c r="B6" s="9" t="s">
        <v>11</v>
      </c>
      <c r="C6" s="10" t="n">
        <v>46307</v>
      </c>
      <c r="D6" s="10" t="n">
        <v>46309</v>
      </c>
      <c r="E6" s="11" t="n">
        <f aca="false">D6-C6+1</f>
        <v>3</v>
      </c>
      <c r="F6" s="12" t="s">
        <v>12</v>
      </c>
      <c r="G6" s="13" t="n">
        <f aca="false">IF(AND($C6&lt;=G$4+6,$D6&gt;=G$4),1,"")</f>
        <v>1</v>
      </c>
      <c r="H6" s="13" t="str">
        <f aca="false">IF(AND($C6&lt;=H$4+6,$D6&gt;=H$4),1,"")</f>
        <v/>
      </c>
      <c r="I6" s="13" t="str">
        <f aca="false">IF(AND($C6&lt;=I$4+6,$D6&gt;=I$4),1,"")</f>
        <v/>
      </c>
      <c r="J6" s="13" t="str">
        <f aca="false">IF(AND($C6&lt;=J$4+6,$D6&gt;=J$4),1,"")</f>
        <v/>
      </c>
      <c r="K6" s="13" t="str">
        <f aca="false">IF(AND($C6&lt;=K$4+6,$D6&gt;=K$4),1,"")</f>
        <v/>
      </c>
      <c r="L6" s="13" t="str">
        <f aca="false">IF(AND($C6&lt;=L$4+6,$D6&gt;=L$4),1,"")</f>
        <v/>
      </c>
      <c r="M6" s="13" t="str">
        <f aca="false">IF(AND($C6&lt;=M$4+6,$D6&gt;=M$4),1,"")</f>
        <v/>
      </c>
      <c r="N6" s="13" t="str">
        <f aca="false">IF(AND($C6&lt;=N$4+6,$D6&gt;=N$4),1,"")</f>
        <v/>
      </c>
      <c r="O6" s="13" t="str">
        <f aca="false">IF(AND($C6&lt;=O$4+6,$D6&gt;=O$4),1,"")</f>
        <v/>
      </c>
      <c r="P6" s="13" t="str">
        <f aca="false">IF(AND($C6&lt;=P$4+6,$D6&gt;=P$4),1,"")</f>
        <v/>
      </c>
      <c r="Q6" s="13" t="str">
        <f aca="false">IF(AND($C6&lt;=Q$4+6,$D6&gt;=Q$4),1,"")</f>
        <v/>
      </c>
      <c r="R6" s="13" t="str">
        <f aca="false">IF(AND($C6&lt;=R$4+6,$D6&gt;=R$4),1,"")</f>
        <v/>
      </c>
    </row>
    <row r="7" customFormat="false" ht="15" hidden="false" customHeight="false" outlineLevel="0" collapsed="false">
      <c r="A7" s="8" t="s">
        <v>13</v>
      </c>
      <c r="B7" s="9" t="s">
        <v>11</v>
      </c>
      <c r="C7" s="10" t="n">
        <v>46307</v>
      </c>
      <c r="D7" s="10" t="n">
        <v>46313</v>
      </c>
      <c r="E7" s="11" t="n">
        <f aca="false">D7-C7+1</f>
        <v>7</v>
      </c>
      <c r="F7" s="12" t="s">
        <v>12</v>
      </c>
      <c r="G7" s="13" t="n">
        <f aca="false">IF(AND($C7&lt;=G$4+6,$D7&gt;=G$4),1,"")</f>
        <v>1</v>
      </c>
      <c r="H7" s="13" t="str">
        <f aca="false">IF(AND($C7&lt;=H$4+6,$D7&gt;=H$4),1,"")</f>
        <v/>
      </c>
      <c r="I7" s="13" t="str">
        <f aca="false">IF(AND($C7&lt;=I$4+6,$D7&gt;=I$4),1,"")</f>
        <v/>
      </c>
      <c r="J7" s="13" t="str">
        <f aca="false">IF(AND($C7&lt;=J$4+6,$D7&gt;=J$4),1,"")</f>
        <v/>
      </c>
      <c r="K7" s="13" t="str">
        <f aca="false">IF(AND($C7&lt;=K$4+6,$D7&gt;=K$4),1,"")</f>
        <v/>
      </c>
      <c r="L7" s="13" t="str">
        <f aca="false">IF(AND($C7&lt;=L$4+6,$D7&gt;=L$4),1,"")</f>
        <v/>
      </c>
      <c r="M7" s="13" t="str">
        <f aca="false">IF(AND($C7&lt;=M$4+6,$D7&gt;=M$4),1,"")</f>
        <v/>
      </c>
      <c r="N7" s="13" t="str">
        <f aca="false">IF(AND($C7&lt;=N$4+6,$D7&gt;=N$4),1,"")</f>
        <v/>
      </c>
      <c r="O7" s="13" t="str">
        <f aca="false">IF(AND($C7&lt;=O$4+6,$D7&gt;=O$4),1,"")</f>
        <v/>
      </c>
      <c r="P7" s="13" t="str">
        <f aca="false">IF(AND($C7&lt;=P$4+6,$D7&gt;=P$4),1,"")</f>
        <v/>
      </c>
      <c r="Q7" s="13" t="str">
        <f aca="false">IF(AND($C7&lt;=Q$4+6,$D7&gt;=Q$4),1,"")</f>
        <v/>
      </c>
      <c r="R7" s="13" t="str">
        <f aca="false">IF(AND($C7&lt;=R$4+6,$D7&gt;=R$4),1,"")</f>
        <v/>
      </c>
    </row>
    <row r="8" customFormat="false" ht="15" hidden="false" customHeight="false" outlineLevel="0" collapsed="false">
      <c r="A8" s="6" t="s">
        <v>14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customFormat="false" ht="15" hidden="false" customHeight="false" outlineLevel="0" collapsed="false">
      <c r="A9" s="8" t="s">
        <v>15</v>
      </c>
      <c r="B9" s="9" t="s">
        <v>16</v>
      </c>
      <c r="C9" s="10" t="n">
        <v>46310</v>
      </c>
      <c r="D9" s="10" t="n">
        <v>46334</v>
      </c>
      <c r="E9" s="11" t="n">
        <f aca="false">D9-C9+1</f>
        <v>25</v>
      </c>
      <c r="F9" s="12" t="s">
        <v>12</v>
      </c>
      <c r="G9" s="13" t="n">
        <f aca="false">IF(AND($C9&lt;=G$4+6,$D9&gt;=G$4),1,"")</f>
        <v>1</v>
      </c>
      <c r="H9" s="13" t="n">
        <f aca="false">IF(AND($C9&lt;=H$4+6,$D9&gt;=H$4),1,"")</f>
        <v>1</v>
      </c>
      <c r="I9" s="13" t="n">
        <f aca="false">IF(AND($C9&lt;=I$4+6,$D9&gt;=I$4),1,"")</f>
        <v>1</v>
      </c>
      <c r="J9" s="13" t="n">
        <f aca="false">IF(AND($C9&lt;=J$4+6,$D9&gt;=J$4),1,"")</f>
        <v>1</v>
      </c>
      <c r="K9" s="13" t="str">
        <f aca="false">IF(AND($C9&lt;=K$4+6,$D9&gt;=K$4),1,"")</f>
        <v/>
      </c>
      <c r="L9" s="13" t="str">
        <f aca="false">IF(AND($C9&lt;=L$4+6,$D9&gt;=L$4),1,"")</f>
        <v/>
      </c>
      <c r="M9" s="13" t="str">
        <f aca="false">IF(AND($C9&lt;=M$4+6,$D9&gt;=M$4),1,"")</f>
        <v/>
      </c>
      <c r="N9" s="13" t="str">
        <f aca="false">IF(AND($C9&lt;=N$4+6,$D9&gt;=N$4),1,"")</f>
        <v/>
      </c>
      <c r="O9" s="13" t="str">
        <f aca="false">IF(AND($C9&lt;=O$4+6,$D9&gt;=O$4),1,"")</f>
        <v/>
      </c>
      <c r="P9" s="13" t="str">
        <f aca="false">IF(AND($C9&lt;=P$4+6,$D9&gt;=P$4),1,"")</f>
        <v/>
      </c>
      <c r="Q9" s="13" t="str">
        <f aca="false">IF(AND($C9&lt;=Q$4+6,$D9&gt;=Q$4),1,"")</f>
        <v/>
      </c>
      <c r="R9" s="13" t="str">
        <f aca="false">IF(AND($C9&lt;=R$4+6,$D9&gt;=R$4),1,"")</f>
        <v/>
      </c>
    </row>
    <row r="10" customFormat="false" ht="15" hidden="false" customHeight="false" outlineLevel="0" collapsed="false">
      <c r="A10" s="8" t="s">
        <v>17</v>
      </c>
      <c r="B10" s="9" t="s">
        <v>16</v>
      </c>
      <c r="C10" s="10" t="n">
        <v>46335</v>
      </c>
      <c r="D10" s="10" t="n">
        <v>46348</v>
      </c>
      <c r="E10" s="11" t="n">
        <f aca="false">D10-C10+1</f>
        <v>14</v>
      </c>
      <c r="F10" s="12" t="s">
        <v>12</v>
      </c>
      <c r="G10" s="13" t="str">
        <f aca="false">IF(AND($C10&lt;=G$4+6,$D10&gt;=G$4),1,"")</f>
        <v/>
      </c>
      <c r="H10" s="13" t="str">
        <f aca="false">IF(AND($C10&lt;=H$4+6,$D10&gt;=H$4),1,"")</f>
        <v/>
      </c>
      <c r="I10" s="13" t="str">
        <f aca="false">IF(AND($C10&lt;=I$4+6,$D10&gt;=I$4),1,"")</f>
        <v/>
      </c>
      <c r="J10" s="13" t="str">
        <f aca="false">IF(AND($C10&lt;=J$4+6,$D10&gt;=J$4),1,"")</f>
        <v/>
      </c>
      <c r="K10" s="13" t="n">
        <f aca="false">IF(AND($C10&lt;=K$4+6,$D10&gt;=K$4),1,"")</f>
        <v>1</v>
      </c>
      <c r="L10" s="13" t="n">
        <f aca="false">IF(AND($C10&lt;=L$4+6,$D10&gt;=L$4),1,"")</f>
        <v>1</v>
      </c>
      <c r="M10" s="13" t="str">
        <f aca="false">IF(AND($C10&lt;=M$4+6,$D10&gt;=M$4),1,"")</f>
        <v/>
      </c>
      <c r="N10" s="13" t="str">
        <f aca="false">IF(AND($C10&lt;=N$4+6,$D10&gt;=N$4),1,"")</f>
        <v/>
      </c>
      <c r="O10" s="13" t="str">
        <f aca="false">IF(AND($C10&lt;=O$4+6,$D10&gt;=O$4),1,"")</f>
        <v/>
      </c>
      <c r="P10" s="13" t="str">
        <f aca="false">IF(AND($C10&lt;=P$4+6,$D10&gt;=P$4),1,"")</f>
        <v/>
      </c>
      <c r="Q10" s="13" t="str">
        <f aca="false">IF(AND($C10&lt;=Q$4+6,$D10&gt;=Q$4),1,"")</f>
        <v/>
      </c>
      <c r="R10" s="13" t="str">
        <f aca="false">IF(AND($C10&lt;=R$4+6,$D10&gt;=R$4),1,"")</f>
        <v/>
      </c>
    </row>
    <row r="11" customFormat="false" ht="15" hidden="false" customHeight="false" outlineLevel="0" collapsed="false">
      <c r="A11" s="8" t="s">
        <v>18</v>
      </c>
      <c r="B11" s="9" t="s">
        <v>16</v>
      </c>
      <c r="C11" s="10" t="n">
        <v>46349</v>
      </c>
      <c r="D11" s="10" t="n">
        <v>46362</v>
      </c>
      <c r="E11" s="11" t="n">
        <f aca="false">D11-C11+1</f>
        <v>14</v>
      </c>
      <c r="F11" s="12" t="s">
        <v>12</v>
      </c>
      <c r="G11" s="13" t="str">
        <f aca="false">IF(AND($C11&lt;=G$4+6,$D11&gt;=G$4),1,"")</f>
        <v/>
      </c>
      <c r="H11" s="13" t="str">
        <f aca="false">IF(AND($C11&lt;=H$4+6,$D11&gt;=H$4),1,"")</f>
        <v/>
      </c>
      <c r="I11" s="13" t="str">
        <f aca="false">IF(AND($C11&lt;=I$4+6,$D11&gt;=I$4),1,"")</f>
        <v/>
      </c>
      <c r="J11" s="13" t="str">
        <f aca="false">IF(AND($C11&lt;=J$4+6,$D11&gt;=J$4),1,"")</f>
        <v/>
      </c>
      <c r="K11" s="13" t="str">
        <f aca="false">IF(AND($C11&lt;=K$4+6,$D11&gt;=K$4),1,"")</f>
        <v/>
      </c>
      <c r="L11" s="13" t="str">
        <f aca="false">IF(AND($C11&lt;=L$4+6,$D11&gt;=L$4),1,"")</f>
        <v/>
      </c>
      <c r="M11" s="13" t="n">
        <f aca="false">IF(AND($C11&lt;=M$4+6,$D11&gt;=M$4),1,"")</f>
        <v>1</v>
      </c>
      <c r="N11" s="13" t="n">
        <f aca="false">IF(AND($C11&lt;=N$4+6,$D11&gt;=N$4),1,"")</f>
        <v>1</v>
      </c>
      <c r="O11" s="13" t="str">
        <f aca="false">IF(AND($C11&lt;=O$4+6,$D11&gt;=O$4),1,"")</f>
        <v/>
      </c>
      <c r="P11" s="13" t="str">
        <f aca="false">IF(AND($C11&lt;=P$4+6,$D11&gt;=P$4),1,"")</f>
        <v/>
      </c>
      <c r="Q11" s="13" t="str">
        <f aca="false">IF(AND($C11&lt;=Q$4+6,$D11&gt;=Q$4),1,"")</f>
        <v/>
      </c>
      <c r="R11" s="13" t="str">
        <f aca="false">IF(AND($C11&lt;=R$4+6,$D11&gt;=R$4),1,"")</f>
        <v/>
      </c>
    </row>
    <row r="12" customFormat="false" ht="15" hidden="false" customHeight="false" outlineLevel="0" collapsed="false">
      <c r="A12" s="8" t="s">
        <v>19</v>
      </c>
      <c r="B12" s="9" t="s">
        <v>20</v>
      </c>
      <c r="C12" s="10" t="n">
        <v>46363</v>
      </c>
      <c r="D12" s="10" t="n">
        <v>46365</v>
      </c>
      <c r="E12" s="11" t="n">
        <f aca="false">D12-C12+1</f>
        <v>3</v>
      </c>
      <c r="F12" s="12" t="s">
        <v>12</v>
      </c>
      <c r="G12" s="13" t="str">
        <f aca="false">IF(AND($C12&lt;=G$4+6,$D12&gt;=G$4),1,"")</f>
        <v/>
      </c>
      <c r="H12" s="13" t="str">
        <f aca="false">IF(AND($C12&lt;=H$4+6,$D12&gt;=H$4),1,"")</f>
        <v/>
      </c>
      <c r="I12" s="13" t="str">
        <f aca="false">IF(AND($C12&lt;=I$4+6,$D12&gt;=I$4),1,"")</f>
        <v/>
      </c>
      <c r="J12" s="13" t="str">
        <f aca="false">IF(AND($C12&lt;=J$4+6,$D12&gt;=J$4),1,"")</f>
        <v/>
      </c>
      <c r="K12" s="13" t="str">
        <f aca="false">IF(AND($C12&lt;=K$4+6,$D12&gt;=K$4),1,"")</f>
        <v/>
      </c>
      <c r="L12" s="13" t="str">
        <f aca="false">IF(AND($C12&lt;=L$4+6,$D12&gt;=L$4),1,"")</f>
        <v/>
      </c>
      <c r="M12" s="13" t="str">
        <f aca="false">IF(AND($C12&lt;=M$4+6,$D12&gt;=M$4),1,"")</f>
        <v/>
      </c>
      <c r="N12" s="13" t="str">
        <f aca="false">IF(AND($C12&lt;=N$4+6,$D12&gt;=N$4),1,"")</f>
        <v/>
      </c>
      <c r="O12" s="13" t="n">
        <f aca="false">IF(AND($C12&lt;=O$4+6,$D12&gt;=O$4),1,"")</f>
        <v>1</v>
      </c>
      <c r="P12" s="13" t="str">
        <f aca="false">IF(AND($C12&lt;=P$4+6,$D12&gt;=P$4),1,"")</f>
        <v/>
      </c>
      <c r="Q12" s="13" t="str">
        <f aca="false">IF(AND($C12&lt;=Q$4+6,$D12&gt;=Q$4),1,"")</f>
        <v/>
      </c>
      <c r="R12" s="13" t="str">
        <f aca="false">IF(AND($C12&lt;=R$4+6,$D12&gt;=R$4),1,"")</f>
        <v/>
      </c>
    </row>
    <row r="13" customFormat="false" ht="15" hidden="false" customHeight="false" outlineLevel="0" collapsed="false">
      <c r="A13" s="6" t="s">
        <v>21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customFormat="false" ht="15" hidden="false" customHeight="false" outlineLevel="0" collapsed="false">
      <c r="A14" s="8" t="s">
        <v>22</v>
      </c>
      <c r="B14" s="9" t="s">
        <v>23</v>
      </c>
      <c r="C14" s="10" t="n">
        <v>46357</v>
      </c>
      <c r="D14" s="10" t="n">
        <v>46362</v>
      </c>
      <c r="E14" s="11" t="n">
        <f aca="false">D14-C14+1</f>
        <v>6</v>
      </c>
      <c r="F14" s="12" t="s">
        <v>12</v>
      </c>
      <c r="G14" s="13" t="str">
        <f aca="false">IF(AND($C14&lt;=G$4+6,$D14&gt;=G$4),1,"")</f>
        <v/>
      </c>
      <c r="H14" s="13" t="str">
        <f aca="false">IF(AND($C14&lt;=H$4+6,$D14&gt;=H$4),1,"")</f>
        <v/>
      </c>
      <c r="I14" s="13" t="str">
        <f aca="false">IF(AND($C14&lt;=I$4+6,$D14&gt;=I$4),1,"")</f>
        <v/>
      </c>
      <c r="J14" s="13" t="str">
        <f aca="false">IF(AND($C14&lt;=J$4+6,$D14&gt;=J$4),1,"")</f>
        <v/>
      </c>
      <c r="K14" s="13" t="str">
        <f aca="false">IF(AND($C14&lt;=K$4+6,$D14&gt;=K$4),1,"")</f>
        <v/>
      </c>
      <c r="L14" s="13" t="str">
        <f aca="false">IF(AND($C14&lt;=L$4+6,$D14&gt;=L$4),1,"")</f>
        <v/>
      </c>
      <c r="M14" s="13" t="str">
        <f aca="false">IF(AND($C14&lt;=M$4+6,$D14&gt;=M$4),1,"")</f>
        <v/>
      </c>
      <c r="N14" s="13" t="n">
        <f aca="false">IF(AND($C14&lt;=N$4+6,$D14&gt;=N$4),1,"")</f>
        <v>1</v>
      </c>
      <c r="O14" s="13" t="str">
        <f aca="false">IF(AND($C14&lt;=O$4+6,$D14&gt;=O$4),1,"")</f>
        <v/>
      </c>
      <c r="P14" s="13" t="str">
        <f aca="false">IF(AND($C14&lt;=P$4+6,$D14&gt;=P$4),1,"")</f>
        <v/>
      </c>
      <c r="Q14" s="13" t="str">
        <f aca="false">IF(AND($C14&lt;=Q$4+6,$D14&gt;=Q$4),1,"")</f>
        <v/>
      </c>
      <c r="R14" s="13" t="str">
        <f aca="false">IF(AND($C14&lt;=R$4+6,$D14&gt;=R$4),1,"")</f>
        <v/>
      </c>
    </row>
    <row r="15" customFormat="false" ht="15" hidden="false" customHeight="false" outlineLevel="0" collapsed="false">
      <c r="A15" s="8" t="s">
        <v>24</v>
      </c>
      <c r="B15" s="9" t="s">
        <v>23</v>
      </c>
      <c r="C15" s="10" t="n">
        <v>46363</v>
      </c>
      <c r="D15" s="10" t="n">
        <v>46376</v>
      </c>
      <c r="E15" s="11" t="n">
        <f aca="false">D15-C15+1</f>
        <v>14</v>
      </c>
      <c r="F15" s="12" t="s">
        <v>12</v>
      </c>
      <c r="G15" s="13" t="str">
        <f aca="false">IF(AND($C15&lt;=G$4+6,$D15&gt;=G$4),1,"")</f>
        <v/>
      </c>
      <c r="H15" s="13" t="str">
        <f aca="false">IF(AND($C15&lt;=H$4+6,$D15&gt;=H$4),1,"")</f>
        <v/>
      </c>
      <c r="I15" s="13" t="str">
        <f aca="false">IF(AND($C15&lt;=I$4+6,$D15&gt;=I$4),1,"")</f>
        <v/>
      </c>
      <c r="J15" s="13" t="str">
        <f aca="false">IF(AND($C15&lt;=J$4+6,$D15&gt;=J$4),1,"")</f>
        <v/>
      </c>
      <c r="K15" s="13" t="str">
        <f aca="false">IF(AND($C15&lt;=K$4+6,$D15&gt;=K$4),1,"")</f>
        <v/>
      </c>
      <c r="L15" s="13" t="str">
        <f aca="false">IF(AND($C15&lt;=L$4+6,$D15&gt;=L$4),1,"")</f>
        <v/>
      </c>
      <c r="M15" s="13" t="str">
        <f aca="false">IF(AND($C15&lt;=M$4+6,$D15&gt;=M$4),1,"")</f>
        <v/>
      </c>
      <c r="N15" s="13" t="str">
        <f aca="false">IF(AND($C15&lt;=N$4+6,$D15&gt;=N$4),1,"")</f>
        <v/>
      </c>
      <c r="O15" s="13" t="n">
        <f aca="false">IF(AND($C15&lt;=O$4+6,$D15&gt;=O$4),1,"")</f>
        <v>1</v>
      </c>
      <c r="P15" s="13" t="n">
        <f aca="false">IF(AND($C15&lt;=P$4+6,$D15&gt;=P$4),1,"")</f>
        <v>1</v>
      </c>
      <c r="Q15" s="13" t="str">
        <f aca="false">IF(AND($C15&lt;=Q$4+6,$D15&gt;=Q$4),1,"")</f>
        <v/>
      </c>
      <c r="R15" s="13" t="str">
        <f aca="false">IF(AND($C15&lt;=R$4+6,$D15&gt;=R$4),1,"")</f>
        <v/>
      </c>
    </row>
    <row r="16" customFormat="false" ht="15" hidden="false" customHeight="false" outlineLevel="0" collapsed="false">
      <c r="A16" s="8" t="s">
        <v>25</v>
      </c>
      <c r="B16" s="9" t="s">
        <v>20</v>
      </c>
      <c r="C16" s="10" t="n">
        <v>46377</v>
      </c>
      <c r="D16" s="10" t="n">
        <v>46378</v>
      </c>
      <c r="E16" s="11" t="n">
        <f aca="false">D16-C16+1</f>
        <v>2</v>
      </c>
      <c r="F16" s="12" t="s">
        <v>12</v>
      </c>
      <c r="G16" s="13" t="str">
        <f aca="false">IF(AND($C16&lt;=G$4+6,$D16&gt;=G$4),1,"")</f>
        <v/>
      </c>
      <c r="H16" s="13" t="str">
        <f aca="false">IF(AND($C16&lt;=H$4+6,$D16&gt;=H$4),1,"")</f>
        <v/>
      </c>
      <c r="I16" s="13" t="str">
        <f aca="false">IF(AND($C16&lt;=I$4+6,$D16&gt;=I$4),1,"")</f>
        <v/>
      </c>
      <c r="J16" s="13" t="str">
        <f aca="false">IF(AND($C16&lt;=J$4+6,$D16&gt;=J$4),1,"")</f>
        <v/>
      </c>
      <c r="K16" s="13" t="str">
        <f aca="false">IF(AND($C16&lt;=K$4+6,$D16&gt;=K$4),1,"")</f>
        <v/>
      </c>
      <c r="L16" s="13" t="str">
        <f aca="false">IF(AND($C16&lt;=L$4+6,$D16&gt;=L$4),1,"")</f>
        <v/>
      </c>
      <c r="M16" s="13" t="str">
        <f aca="false">IF(AND($C16&lt;=M$4+6,$D16&gt;=M$4),1,"")</f>
        <v/>
      </c>
      <c r="N16" s="13" t="str">
        <f aca="false">IF(AND($C16&lt;=N$4+6,$D16&gt;=N$4),1,"")</f>
        <v/>
      </c>
      <c r="O16" s="13" t="str">
        <f aca="false">IF(AND($C16&lt;=O$4+6,$D16&gt;=O$4),1,"")</f>
        <v/>
      </c>
      <c r="P16" s="13" t="str">
        <f aca="false">IF(AND($C16&lt;=P$4+6,$D16&gt;=P$4),1,"")</f>
        <v/>
      </c>
      <c r="Q16" s="13" t="n">
        <f aca="false">IF(AND($C16&lt;=Q$4+6,$D16&gt;=Q$4),1,"")</f>
        <v>1</v>
      </c>
      <c r="R16" s="13" t="str">
        <f aca="false">IF(AND($C16&lt;=R$4+6,$D16&gt;=R$4),1,"")</f>
        <v/>
      </c>
    </row>
    <row r="17" customFormat="false" ht="15" hidden="false" customHeight="false" outlineLevel="0" collapsed="false">
      <c r="A17" s="6" t="s">
        <v>26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customFormat="false" ht="15" hidden="false" customHeight="false" outlineLevel="0" collapsed="false">
      <c r="A18" s="8" t="s">
        <v>27</v>
      </c>
      <c r="B18" s="9" t="s">
        <v>28</v>
      </c>
      <c r="C18" s="10" t="n">
        <v>46342</v>
      </c>
      <c r="D18" s="10" t="n">
        <v>46376</v>
      </c>
      <c r="E18" s="11" t="n">
        <f aca="false">D18-C18+1</f>
        <v>35</v>
      </c>
      <c r="F18" s="12" t="s">
        <v>12</v>
      </c>
      <c r="G18" s="13" t="str">
        <f aca="false">IF(AND($C18&lt;=G$4+6,$D18&gt;=G$4),1,"")</f>
        <v/>
      </c>
      <c r="H18" s="13" t="str">
        <f aca="false">IF(AND($C18&lt;=H$4+6,$D18&gt;=H$4),1,"")</f>
        <v/>
      </c>
      <c r="I18" s="13" t="str">
        <f aca="false">IF(AND($C18&lt;=I$4+6,$D18&gt;=I$4),1,"")</f>
        <v/>
      </c>
      <c r="J18" s="13" t="str">
        <f aca="false">IF(AND($C18&lt;=J$4+6,$D18&gt;=J$4),1,"")</f>
        <v/>
      </c>
      <c r="K18" s="13" t="str">
        <f aca="false">IF(AND($C18&lt;=K$4+6,$D18&gt;=K$4),1,"")</f>
        <v/>
      </c>
      <c r="L18" s="13" t="n">
        <f aca="false">IF(AND($C18&lt;=L$4+6,$D18&gt;=L$4),1,"")</f>
        <v>1</v>
      </c>
      <c r="M18" s="13" t="n">
        <f aca="false">IF(AND($C18&lt;=M$4+6,$D18&gt;=M$4),1,"")</f>
        <v>1</v>
      </c>
      <c r="N18" s="13" t="n">
        <f aca="false">IF(AND($C18&lt;=N$4+6,$D18&gt;=N$4),1,"")</f>
        <v>1</v>
      </c>
      <c r="O18" s="13" t="n">
        <f aca="false">IF(AND($C18&lt;=O$4+6,$D18&gt;=O$4),1,"")</f>
        <v>1</v>
      </c>
      <c r="P18" s="13" t="n">
        <f aca="false">IF(AND($C18&lt;=P$4+6,$D18&gt;=P$4),1,"")</f>
        <v>1</v>
      </c>
      <c r="Q18" s="13" t="str">
        <f aca="false">IF(AND($C18&lt;=Q$4+6,$D18&gt;=Q$4),1,"")</f>
        <v/>
      </c>
      <c r="R18" s="13" t="str">
        <f aca="false">IF(AND($C18&lt;=R$4+6,$D18&gt;=R$4),1,"")</f>
        <v/>
      </c>
    </row>
    <row r="19" customFormat="false" ht="26.85" hidden="false" customHeight="false" outlineLevel="0" collapsed="false">
      <c r="A19" s="8" t="s">
        <v>29</v>
      </c>
      <c r="B19" s="9" t="s">
        <v>30</v>
      </c>
      <c r="C19" s="10" t="n">
        <v>46370</v>
      </c>
      <c r="D19" s="10" t="n">
        <v>46379</v>
      </c>
      <c r="E19" s="11" t="n">
        <f aca="false">D19-C19+1</f>
        <v>10</v>
      </c>
      <c r="F19" s="12" t="s">
        <v>12</v>
      </c>
      <c r="G19" s="13" t="str">
        <f aca="false">IF(AND($C19&lt;=G$4+6,$D19&gt;=G$4),1,"")</f>
        <v/>
      </c>
      <c r="H19" s="13" t="str">
        <f aca="false">IF(AND($C19&lt;=H$4+6,$D19&gt;=H$4),1,"")</f>
        <v/>
      </c>
      <c r="I19" s="13" t="str">
        <f aca="false">IF(AND($C19&lt;=I$4+6,$D19&gt;=I$4),1,"")</f>
        <v/>
      </c>
      <c r="J19" s="13" t="str">
        <f aca="false">IF(AND($C19&lt;=J$4+6,$D19&gt;=J$4),1,"")</f>
        <v/>
      </c>
      <c r="K19" s="13" t="str">
        <f aca="false">IF(AND($C19&lt;=K$4+6,$D19&gt;=K$4),1,"")</f>
        <v/>
      </c>
      <c r="L19" s="13" t="str">
        <f aca="false">IF(AND($C19&lt;=L$4+6,$D19&gt;=L$4),1,"")</f>
        <v/>
      </c>
      <c r="M19" s="13" t="str">
        <f aca="false">IF(AND($C19&lt;=M$4+6,$D19&gt;=M$4),1,"")</f>
        <v/>
      </c>
      <c r="N19" s="13" t="str">
        <f aca="false">IF(AND($C19&lt;=N$4+6,$D19&gt;=N$4),1,"")</f>
        <v/>
      </c>
      <c r="O19" s="13" t="str">
        <f aca="false">IF(AND($C19&lt;=O$4+6,$D19&gt;=O$4),1,"")</f>
        <v/>
      </c>
      <c r="P19" s="13" t="n">
        <f aca="false">IF(AND($C19&lt;=P$4+6,$D19&gt;=P$4),1,"")</f>
        <v>1</v>
      </c>
      <c r="Q19" s="13" t="n">
        <f aca="false">IF(AND($C19&lt;=Q$4+6,$D19&gt;=Q$4),1,"")</f>
        <v>1</v>
      </c>
      <c r="R19" s="13" t="str">
        <f aca="false">IF(AND($C19&lt;=R$4+6,$D19&gt;=R$4),1,"")</f>
        <v/>
      </c>
    </row>
    <row r="20" customFormat="false" ht="15" hidden="false" customHeight="false" outlineLevel="0" collapsed="false">
      <c r="A20" s="8" t="s">
        <v>31</v>
      </c>
      <c r="B20" s="9" t="s">
        <v>30</v>
      </c>
      <c r="C20" s="10" t="n">
        <v>46378</v>
      </c>
      <c r="D20" s="10" t="n">
        <v>46384</v>
      </c>
      <c r="E20" s="11" t="n">
        <f aca="false">D20-C20+1</f>
        <v>7</v>
      </c>
      <c r="F20" s="12" t="s">
        <v>12</v>
      </c>
      <c r="G20" s="13" t="str">
        <f aca="false">IF(AND($C20&lt;=G$4+6,$D20&gt;=G$4),1,"")</f>
        <v/>
      </c>
      <c r="H20" s="13" t="str">
        <f aca="false">IF(AND($C20&lt;=H$4+6,$D20&gt;=H$4),1,"")</f>
        <v/>
      </c>
      <c r="I20" s="13" t="str">
        <f aca="false">IF(AND($C20&lt;=I$4+6,$D20&gt;=I$4),1,"")</f>
        <v/>
      </c>
      <c r="J20" s="13" t="str">
        <f aca="false">IF(AND($C20&lt;=J$4+6,$D20&gt;=J$4),1,"")</f>
        <v/>
      </c>
      <c r="K20" s="13" t="str">
        <f aca="false">IF(AND($C20&lt;=K$4+6,$D20&gt;=K$4),1,"")</f>
        <v/>
      </c>
      <c r="L20" s="13" t="str">
        <f aca="false">IF(AND($C20&lt;=L$4+6,$D20&gt;=L$4),1,"")</f>
        <v/>
      </c>
      <c r="M20" s="13" t="str">
        <f aca="false">IF(AND($C20&lt;=M$4+6,$D20&gt;=M$4),1,"")</f>
        <v/>
      </c>
      <c r="N20" s="13" t="str">
        <f aca="false">IF(AND($C20&lt;=N$4+6,$D20&gt;=N$4),1,"")</f>
        <v/>
      </c>
      <c r="O20" s="13" t="str">
        <f aca="false">IF(AND($C20&lt;=O$4+6,$D20&gt;=O$4),1,"")</f>
        <v/>
      </c>
      <c r="P20" s="13" t="str">
        <f aca="false">IF(AND($C20&lt;=P$4+6,$D20&gt;=P$4),1,"")</f>
        <v/>
      </c>
      <c r="Q20" s="13" t="n">
        <f aca="false">IF(AND($C20&lt;=Q$4+6,$D20&gt;=Q$4),1,"")</f>
        <v>1</v>
      </c>
      <c r="R20" s="13" t="n">
        <f aca="false">IF(AND($C20&lt;=R$4+6,$D20&gt;=R$4),1,"")</f>
        <v>1</v>
      </c>
    </row>
    <row r="21" customFormat="false" ht="15" hidden="false" customHeight="false" outlineLevel="0" collapsed="false">
      <c r="A21" s="8" t="s">
        <v>32</v>
      </c>
      <c r="B21" s="9" t="s">
        <v>20</v>
      </c>
      <c r="C21" s="10" t="n">
        <v>46384</v>
      </c>
      <c r="D21" s="10" t="n">
        <v>46388</v>
      </c>
      <c r="E21" s="11" t="n">
        <f aca="false">D21-C21+1</f>
        <v>5</v>
      </c>
      <c r="F21" s="12" t="s">
        <v>12</v>
      </c>
      <c r="G21" s="13" t="str">
        <f aca="false">IF(AND($C21&lt;=G$4+6,$D21&gt;=G$4),1,"")</f>
        <v/>
      </c>
      <c r="H21" s="13" t="str">
        <f aca="false">IF(AND($C21&lt;=H$4+6,$D21&gt;=H$4),1,"")</f>
        <v/>
      </c>
      <c r="I21" s="13" t="str">
        <f aca="false">IF(AND($C21&lt;=I$4+6,$D21&gt;=I$4),1,"")</f>
        <v/>
      </c>
      <c r="J21" s="13" t="str">
        <f aca="false">IF(AND($C21&lt;=J$4+6,$D21&gt;=J$4),1,"")</f>
        <v/>
      </c>
      <c r="K21" s="13" t="str">
        <f aca="false">IF(AND($C21&lt;=K$4+6,$D21&gt;=K$4),1,"")</f>
        <v/>
      </c>
      <c r="L21" s="13" t="str">
        <f aca="false">IF(AND($C21&lt;=L$4+6,$D21&gt;=L$4),1,"")</f>
        <v/>
      </c>
      <c r="M21" s="13" t="str">
        <f aca="false">IF(AND($C21&lt;=M$4+6,$D21&gt;=M$4),1,"")</f>
        <v/>
      </c>
      <c r="N21" s="13" t="str">
        <f aca="false">IF(AND($C21&lt;=N$4+6,$D21&gt;=N$4),1,"")</f>
        <v/>
      </c>
      <c r="O21" s="13" t="str">
        <f aca="false">IF(AND($C21&lt;=O$4+6,$D21&gt;=O$4),1,"")</f>
        <v/>
      </c>
      <c r="P21" s="13" t="str">
        <f aca="false">IF(AND($C21&lt;=P$4+6,$D21&gt;=P$4),1,"")</f>
        <v/>
      </c>
      <c r="Q21" s="13" t="str">
        <f aca="false">IF(AND($C21&lt;=Q$4+6,$D21&gt;=Q$4),1,"")</f>
        <v/>
      </c>
      <c r="R21" s="13" t="n">
        <f aca="false">IF(AND($C21&lt;=R$4+6,$D21&gt;=R$4),1,"")</f>
        <v>1</v>
      </c>
    </row>
    <row r="23" customFormat="false" ht="15" hidden="false" customHeight="false" outlineLevel="0" collapsed="false">
      <c r="A23" s="14" t="s">
        <v>33</v>
      </c>
    </row>
    <row r="24" customFormat="false" ht="15" hidden="false" customHeight="false" outlineLevel="0" collapsed="false">
      <c r="A24" s="15" t="s">
        <v>34</v>
      </c>
      <c r="B24" s="16"/>
    </row>
    <row r="25" customFormat="false" ht="15" hidden="false" customHeight="false" outlineLevel="0" collapsed="false">
      <c r="A25" s="15" t="s">
        <v>20</v>
      </c>
      <c r="B25" s="17"/>
    </row>
    <row r="26" customFormat="false" ht="15" hidden="false" customHeight="false" outlineLevel="0" collapsed="false">
      <c r="A26" s="15" t="s">
        <v>35</v>
      </c>
      <c r="B26" s="18"/>
    </row>
    <row r="27" customFormat="false" ht="15" hidden="false" customHeight="false" outlineLevel="0" collapsed="false">
      <c r="A27" s="19" t="s">
        <v>36</v>
      </c>
    </row>
    <row r="28" customFormat="false" ht="15" hidden="false" customHeight="false" outlineLevel="0" collapsed="false">
      <c r="A28" s="20" t="str">
        <f aca="false">COUNTIF(F5:F21,"Done")&amp;" of "&amp;COUNTA(F5:F21)&amp;" tasks done"</f>
        <v>0 of 13 tasks done</v>
      </c>
    </row>
  </sheetData>
  <conditionalFormatting sqref="G5:R21">
    <cfRule type="expression" priority="2" aboveAverage="0" equalAverage="0" bottom="0" percent="0" rank="0" text="" dxfId="0">
      <formula>AND(G5=1,$B5="Milestone")</formula>
    </cfRule>
    <cfRule type="expression" priority="3" aboveAverage="0" equalAverage="0" bottom="0" percent="0" rank="0" text="" dxfId="1">
      <formula>AND(G5=1,$F5="Done")</formula>
    </cfRule>
    <cfRule type="expression" priority="4" aboveAverage="0" equalAverage="0" bottom="0" percent="0" rank="0" text="" dxfId="2">
      <formula>G5=1</formula>
    </cfRule>
  </conditionalFormatting>
  <conditionalFormatting sqref="A5:F21">
    <cfRule type="expression" priority="5" aboveAverage="0" equalAverage="0" bottom="0" percent="0" rank="0" text="" dxfId="3">
      <formula>$F5="Done"</formula>
    </cfRule>
  </conditionalFormatting>
  <dataValidations count="1">
    <dataValidation allowBlank="true" errorStyle="stop" operator="between" showDropDown="false" showErrorMessage="false" showInputMessage="false" sqref="F5:F21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2026-10-12T21:08:22Z</dcterms:created>
  <dc:creator>openpyxl</dc:creator>
  <dc:description/>
  <dc:language>en-US</dc:language>
  <cp:lastModifiedBy/>
  <dcterms:modified xsi:type="dcterms:W3CDTF">2026-10-12T21:08:22Z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