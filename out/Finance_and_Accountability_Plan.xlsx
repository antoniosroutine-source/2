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inances" sheetId="1" state="visible" r:id="rId3"/>
    <sheet name="Gym &amp; Mindset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From you (Oct 12, 2026).</t>
        </r>
      </text>
    </comment>
    <comment ref="B6" authorId="0">
      <text>
        <r>
          <rPr>
            <sz val="10"/>
            <rFont val="Arial"/>
            <family val="2"/>
          </rPr>
          <t xml:space="preserve">From you: $6,000+ (need +$3,400).</t>
        </r>
      </text>
    </comment>
    <comment ref="B7" authorId="0">
      <text>
        <r>
          <rPr>
            <sz val="10"/>
            <rFont val="Arial"/>
            <family val="2"/>
          </rPr>
          <t xml:space="preserve">From you: Topstep $1–2k/week. Not guaranteed; payouts follow Topstep's rules and schedule.</t>
        </r>
      </text>
    </comment>
    <comment ref="B8" authorId="0">
      <text>
        <r>
          <rPr>
            <sz val="10"/>
            <rFont val="Arial"/>
            <family val="2"/>
          </rPr>
          <t xml:space="preserve">From you: Topstep $1–2k/week.</t>
        </r>
      </text>
    </comment>
    <comment ref="B9" authorId="0">
      <text>
        <r>
          <rPr>
            <sz val="10"/>
            <rFont val="Arial"/>
            <family val="2"/>
          </rPr>
          <t xml:space="preserve">Monthly total × 12 ÷ 52 = weekly.</t>
        </r>
      </text>
    </comment>
    <comment ref="B12" authorId="0">
      <text>
        <r>
          <rPr>
            <sz val="10"/>
            <rFont val="Arial"/>
            <family val="2"/>
          </rPr>
          <t xml:space="preserve">(Amount needed + license costs) ÷ 12 weeks. This is what you must keep after expenses each week.</t>
        </r>
      </text>
    </comment>
    <comment ref="B19" authorId="0">
      <text>
        <r>
          <rPr>
            <sz val="10"/>
            <rFont val="Arial"/>
            <family val="2"/>
          </rPr>
          <t xml:space="preserve">Pre-license package — $300, from you</t>
        </r>
      </text>
    </comment>
    <comment ref="B26" authorId="0">
      <text>
        <r>
          <rPr>
            <sz val="10"/>
            <rFont val="Arial"/>
            <family val="2"/>
          </rPr>
          <t xml:space="preserve">PSI exam fee — ESTIMATE, confirm with PSI and replace</t>
        </r>
      </text>
    </comment>
    <comment ref="B29" authorId="0">
      <text>
        <r>
          <rPr>
            <sz val="10"/>
            <rFont val="Arial"/>
            <family val="2"/>
          </rPr>
          <t xml:space="preserve">License application fee — $300, from you (fingerprinting may be extra)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Your weekly target — change anytime.</t>
        </r>
      </text>
    </comment>
    <comment ref="B5" authorId="0">
      <text>
        <r>
          <rPr>
            <sz val="10"/>
            <rFont val="Arial"/>
            <family val="2"/>
          </rPr>
          <t xml:space="preserve">Your weekly target — change anytime.</t>
        </r>
      </text>
    </comment>
  </commentList>
</comments>
</file>

<file path=xl/sharedStrings.xml><?xml version="1.0" encoding="utf-8"?>
<sst xmlns="http://schemas.openxmlformats.org/spreadsheetml/2006/main" count="93" uniqueCount="73">
  <si>
    <t xml:space="preserve">Savings Plan — $2,600 → $6,000+ by Jan 1, 2027</t>
  </si>
  <si>
    <t xml:space="preserve">Yellow cells are yours to edit. Each week, fill in the Actual columns; the grid tracks you against the plan.</t>
  </si>
  <si>
    <t xml:space="preserve">Assumptions</t>
  </si>
  <si>
    <t xml:space="preserve">Monthly expenses (fill in)</t>
  </si>
  <si>
    <t xml:space="preserve">Starting balance</t>
  </si>
  <si>
    <t xml:space="preserve">Rent / housing</t>
  </si>
  <si>
    <t xml:space="preserve">Savings goal</t>
  </si>
  <si>
    <t xml:space="preserve">Utilities</t>
  </si>
  <si>
    <t xml:space="preserve">Trading income / week — low case</t>
  </si>
  <si>
    <t xml:space="preserve">Phone</t>
  </si>
  <si>
    <t xml:space="preserve">Trading income / week — high case</t>
  </si>
  <si>
    <t xml:space="preserve">Car payment + insurance</t>
  </si>
  <si>
    <t xml:space="preserve">Expenses / week (from monthly list →)</t>
  </si>
  <si>
    <t xml:space="preserve">Gas</t>
  </si>
  <si>
    <t xml:space="preserve">Topstep fees: include in the monthly list</t>
  </si>
  <si>
    <t xml:space="preserve">Groceries / food</t>
  </si>
  <si>
    <t xml:space="preserve">Amount still needed</t>
  </si>
  <si>
    <t xml:space="preserve">Gym membership</t>
  </si>
  <si>
    <t xml:space="preserve">Weekly savings needed to hit goal by Jan 1</t>
  </si>
  <si>
    <t xml:space="preserve">Subscriptions</t>
  </si>
  <si>
    <t xml:space="preserve">Weekly trading income needed (incl. expenses)</t>
  </si>
  <si>
    <t xml:space="preserve">Topstep subscription / resets</t>
  </si>
  <si>
    <t xml:space="preserve">Other / fun</t>
  </si>
  <si>
    <t xml:space="preserve">Total per month</t>
  </si>
  <si>
    <t xml:space="preserve">Week of</t>
  </si>
  <si>
    <t xml:space="preserve">License costs (est.)</t>
  </si>
  <si>
    <t xml:space="preserve">Plan: low case balance</t>
  </si>
  <si>
    <t xml:space="preserve">Plan: high case balance</t>
  </si>
  <si>
    <t xml:space="preserve">Actual trading income</t>
  </si>
  <si>
    <t xml:space="preserve">Other income</t>
  </si>
  <si>
    <t xml:space="preserve">Actual expenses</t>
  </si>
  <si>
    <t xml:space="preserve">Actual license + trading costs</t>
  </si>
  <si>
    <t xml:space="preserve">Actual balance</t>
  </si>
  <si>
    <t xml:space="preserve">% of goal</t>
  </si>
  <si>
    <t xml:space="preserve">On track?</t>
  </si>
  <si>
    <t xml:space="preserve">Summary</t>
  </si>
  <si>
    <t xml:space="preserve">Goal reached by (low case)</t>
  </si>
  <si>
    <t xml:space="preserve">Goal reached by (high case)</t>
  </si>
  <si>
    <t xml:space="preserve">Jan 1 balance — low case</t>
  </si>
  <si>
    <t xml:space="preserve">Jan 1 balance — high case</t>
  </si>
  <si>
    <t xml:space="preserve">Weeks of trading logged</t>
  </si>
  <si>
    <t xml:space="preserve">Avg actual trading income / week</t>
  </si>
  <si>
    <t xml:space="preserve">Latest actual balance</t>
  </si>
  <si>
    <t xml:space="preserve">Notes:</t>
  </si>
  <si>
    <t xml:space="preserve">• Fill in the Monthly expenses list — weekly expenses come from it and every plan balance subtracts them.</t>
  </si>
  <si>
    <t xml:space="preserve">• Trading income is not guaranteed. Size your plan so the goal still works if a week is $0 — the low case is your real plan, the high case is a bonus.</t>
  </si>
  <si>
    <t xml:space="preserve">• License costs: $300 package and $300 application are from you; the $150 exam fee is an estimate — replace it with the real price.</t>
  </si>
  <si>
    <t xml:space="preserve">• Blue = inputs, black = formulas. Enter weekly totals in the yellow Actual columns.</t>
  </si>
  <si>
    <t xml:space="preserve">Gym &amp; Mindset Accountability — Oct 12 → Jan 1</t>
  </si>
  <si>
    <t xml:space="preserve">Type x in a day's box when you did it. Weekly totals and hit/miss update automatically.</t>
  </si>
  <si>
    <t xml:space="preserve">Gym days / week target</t>
  </si>
  <si>
    <t xml:space="preserve">Mindset days / week target</t>
  </si>
  <si>
    <t xml:space="preserve">Mindset = journaling, reading, meditation, visualization, or reviewing your trading/study goals (pick yours).</t>
  </si>
  <si>
    <t xml:space="preserve">GYM</t>
  </si>
  <si>
    <t xml:space="preserve">MINDSET</t>
  </si>
  <si>
    <t xml:space="preserve">M</t>
  </si>
  <si>
    <t xml:space="preserve">T</t>
  </si>
  <si>
    <t xml:space="preserve">W</t>
  </si>
  <si>
    <t xml:space="preserve">F</t>
  </si>
  <si>
    <t xml:space="preserve">S</t>
  </si>
  <si>
    <t xml:space="preserve">Gym total</t>
  </si>
  <si>
    <t xml:space="preserve">Mindset total</t>
  </si>
  <si>
    <t xml:space="preserve">Gym hit?</t>
  </si>
  <si>
    <t xml:space="preserve">Mindset hit?</t>
  </si>
  <si>
    <t xml:space="preserve">Notes / wins</t>
  </si>
  <si>
    <t xml:space="preserve">Example</t>
  </si>
  <si>
    <t xml:space="preserve">x</t>
  </si>
  <si>
    <t xml:space="preserve">Hit 4 lifts, journaled every day</t>
  </si>
  <si>
    <t xml:space="preserve">Totals</t>
  </si>
  <si>
    <t xml:space="preserve">Gym sessions logged</t>
  </si>
  <si>
    <t xml:space="preserve">Mindset days logged</t>
  </si>
  <si>
    <t xml:space="preserve">Weeks gym target hit</t>
  </si>
  <si>
    <t xml:space="preserve">Weeks mindset target hit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</si>
</sst>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;&quot;($&quot;#,##0\);\-"/>
    <numFmt numFmtId="166" formatCode="mmm\ d"/>
    <numFmt numFmtId="167" formatCode="0%"/>
    <numFmt numFmtId="168" formatCode="0"/>
    <numFmt numFmtId="169" formatCode="General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9"/>
      <name val="Arial"/>
      <family val="0"/>
      <charset val="1"/>
    </font>
    <font>
      <sz val="10"/>
      <name val="Arial"/>
      <family val="2"/>
    </font>
    <font>
      <b val="true"/>
      <sz val="11"/>
      <color rgb="FFC55A11"/>
      <name val="Arial"/>
      <family val="0"/>
      <charset val="1"/>
    </font>
    <font>
      <b val="true"/>
      <sz val="11"/>
      <color rgb="FF7030A0"/>
      <name val="Arial"/>
      <family val="0"/>
      <charset val="1"/>
    </font>
    <font>
      <i val="true"/>
      <sz val="11"/>
      <color rgb="FF80808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b val="1"/>
        <color rgb="FFFFFFFF"/>
      </font>
      <fill>
        <patternFill>
          <bgColor rgb="FF70AD47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E2EFDA"/>
        </patternFill>
      </fill>
    </dxf>
    <dxf>
      <fill>
        <patternFill>
          <bgColor rgb="FFF4B183"/>
        </patternFill>
      </fill>
    </dxf>
    <dxf>
      <fill>
        <patternFill>
          <bgColor rgb="FFC9B3E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B3E6"/>
      <rgbColor rgb="FF808080"/>
      <rgbColor rgb="FF9999FF"/>
      <rgbColor rgb="FF7030A0"/>
      <rgbColor rgb="FFE2EFDA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4B183"/>
      <rgbColor rgb="FFCC99FF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8" topLeftCell="B19" activePane="bottomRight" state="frozen"/>
      <selection pane="topLeft" activeCell="A1" activeCellId="0" sqref="A1"/>
      <selection pane="topRight" activeCell="B1" activeCellId="0" sqref="B1"/>
      <selection pane="bottomLeft" activeCell="A19" activeCellId="0" sqref="A1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4" min="3" style="0" width="15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5"/>
    <col collapsed="false" customWidth="true" hidden="false" outlineLevel="0" max="9" min="9" style="0" width="14"/>
    <col collapsed="false" customWidth="true" hidden="false" outlineLevel="0" max="10" min="10" style="0" width="10"/>
    <col collapsed="false" customWidth="true" hidden="false" outlineLevel="0" max="11" min="11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D4" s="3" t="s">
        <v>3</v>
      </c>
    </row>
    <row r="5" customFormat="false" ht="15" hidden="false" customHeight="false" outlineLevel="0" collapsed="false">
      <c r="A5" s="4" t="s">
        <v>4</v>
      </c>
      <c r="B5" s="5" t="n">
        <v>2600</v>
      </c>
      <c r="D5" s="4" t="s">
        <v>5</v>
      </c>
      <c r="E5" s="5" t="n">
        <v>0</v>
      </c>
    </row>
    <row r="6" customFormat="false" ht="15" hidden="false" customHeight="false" outlineLevel="0" collapsed="false">
      <c r="A6" s="4" t="s">
        <v>6</v>
      </c>
      <c r="B6" s="5" t="n">
        <v>6000</v>
      </c>
      <c r="D6" s="4" t="s">
        <v>7</v>
      </c>
      <c r="E6" s="5" t="n">
        <v>0</v>
      </c>
    </row>
    <row r="7" customFormat="false" ht="15" hidden="false" customHeight="false" outlineLevel="0" collapsed="false">
      <c r="A7" s="4" t="s">
        <v>8</v>
      </c>
      <c r="B7" s="5" t="n">
        <v>1000</v>
      </c>
      <c r="D7" s="4" t="s">
        <v>9</v>
      </c>
      <c r="E7" s="5" t="n">
        <v>0</v>
      </c>
    </row>
    <row r="8" customFormat="false" ht="15" hidden="false" customHeight="false" outlineLevel="0" collapsed="false">
      <c r="A8" s="4" t="s">
        <v>10</v>
      </c>
      <c r="B8" s="5" t="n">
        <v>2000</v>
      </c>
      <c r="D8" s="4" t="s">
        <v>11</v>
      </c>
      <c r="E8" s="5" t="n">
        <v>0</v>
      </c>
    </row>
    <row r="9" customFormat="false" ht="15" hidden="false" customHeight="false" outlineLevel="0" collapsed="false">
      <c r="A9" s="4" t="s">
        <v>12</v>
      </c>
      <c r="B9" s="6" t="n">
        <f aca="false">E15*12/52</f>
        <v>0</v>
      </c>
      <c r="D9" s="4" t="s">
        <v>13</v>
      </c>
      <c r="E9" s="5" t="n">
        <v>0</v>
      </c>
    </row>
    <row r="10" customFormat="false" ht="15" hidden="false" customHeight="false" outlineLevel="0" collapsed="false">
      <c r="A10" s="7" t="s">
        <v>14</v>
      </c>
      <c r="D10" s="4" t="s">
        <v>15</v>
      </c>
      <c r="E10" s="5" t="n">
        <v>0</v>
      </c>
    </row>
    <row r="11" customFormat="false" ht="15" hidden="false" customHeight="false" outlineLevel="0" collapsed="false">
      <c r="A11" s="8" t="s">
        <v>16</v>
      </c>
      <c r="B11" s="9" t="n">
        <f aca="false">$B$6-$B$5</f>
        <v>3400</v>
      </c>
      <c r="D11" s="4" t="s">
        <v>17</v>
      </c>
      <c r="E11" s="5" t="n">
        <v>0</v>
      </c>
    </row>
    <row r="12" customFormat="false" ht="15" hidden="false" customHeight="false" outlineLevel="0" collapsed="false">
      <c r="A12" s="8" t="s">
        <v>18</v>
      </c>
      <c r="B12" s="9" t="n">
        <f aca="false">(B11+SUM(B19:B30))/12</f>
        <v>345.833333333333</v>
      </c>
      <c r="D12" s="4" t="s">
        <v>19</v>
      </c>
      <c r="E12" s="5" t="n">
        <v>0</v>
      </c>
    </row>
    <row r="13" customFormat="false" ht="15" hidden="false" customHeight="false" outlineLevel="0" collapsed="false">
      <c r="A13" s="8" t="s">
        <v>20</v>
      </c>
      <c r="B13" s="10" t="n">
        <f aca="false">B12+B9</f>
        <v>345.833333333333</v>
      </c>
      <c r="D13" s="4" t="s">
        <v>21</v>
      </c>
      <c r="E13" s="5" t="n">
        <v>0</v>
      </c>
    </row>
    <row r="14" customFormat="false" ht="15" hidden="false" customHeight="false" outlineLevel="0" collapsed="false">
      <c r="D14" s="4" t="s">
        <v>22</v>
      </c>
      <c r="E14" s="5" t="n">
        <v>0</v>
      </c>
    </row>
    <row r="15" customFormat="false" ht="15" hidden="false" customHeight="false" outlineLevel="0" collapsed="false">
      <c r="D15" s="8" t="s">
        <v>23</v>
      </c>
      <c r="E15" s="6" t="n">
        <f aca="false">SUM(E5:E14)</f>
        <v>0</v>
      </c>
    </row>
    <row r="18" customFormat="false" ht="31.5" hidden="false" customHeight="true" outlineLevel="0" collapsed="false">
      <c r="A18" s="11" t="s">
        <v>24</v>
      </c>
      <c r="B18" s="11" t="s">
        <v>25</v>
      </c>
      <c r="C18" s="11" t="s">
        <v>26</v>
      </c>
      <c r="D18" s="11" t="s">
        <v>27</v>
      </c>
      <c r="E18" s="11" t="s">
        <v>28</v>
      </c>
      <c r="F18" s="11" t="s">
        <v>29</v>
      </c>
      <c r="G18" s="11" t="s">
        <v>30</v>
      </c>
      <c r="H18" s="11" t="s">
        <v>31</v>
      </c>
      <c r="I18" s="11" t="s">
        <v>32</v>
      </c>
      <c r="J18" s="11" t="s">
        <v>33</v>
      </c>
      <c r="K18" s="11" t="s">
        <v>34</v>
      </c>
    </row>
    <row r="19" customFormat="false" ht="15" hidden="false" customHeight="false" outlineLevel="0" collapsed="false">
      <c r="A19" s="12" t="n">
        <v>46307</v>
      </c>
      <c r="B19" s="13" t="n">
        <v>300</v>
      </c>
      <c r="C19" s="14" t="n">
        <f aca="false">$B$5+ROWS(A$19:A19)*($B$7-$B$9)-SUM(B$19:B19)</f>
        <v>3300</v>
      </c>
      <c r="D19" s="14" t="n">
        <f aca="false">$B$5+ROWS(A$19:A19)*($B$8-$B$9)-SUM(B$19:B19)</f>
        <v>4300</v>
      </c>
      <c r="E19" s="13"/>
      <c r="F19" s="13"/>
      <c r="G19" s="13"/>
      <c r="H19" s="13"/>
      <c r="I19" s="14" t="str">
        <f aca="false">IF(E19="","",$B$5+SUM(E$19:F19)-SUM(G$19:H19))</f>
        <v/>
      </c>
      <c r="J19" s="15" t="str">
        <f aca="false">IF(I19="","",I19/$B$6)</f>
        <v/>
      </c>
      <c r="K19" s="16" t="str">
        <f aca="false">IF(I19="","",IF(I19&gt;=$B$6,"GOAL HIT",IF(I19&gt;=C19,"On track","Behind")))</f>
        <v/>
      </c>
    </row>
    <row r="20" customFormat="false" ht="15" hidden="false" customHeight="false" outlineLevel="0" collapsed="false">
      <c r="A20" s="12" t="n">
        <v>46314</v>
      </c>
      <c r="B20" s="13" t="n">
        <v>0</v>
      </c>
      <c r="C20" s="14" t="n">
        <f aca="false">$B$5+ROWS(A$19:A20)*($B$7-$B$9)-SUM(B$19:B20)</f>
        <v>4300</v>
      </c>
      <c r="D20" s="14" t="n">
        <f aca="false">$B$5+ROWS(A$19:A20)*($B$8-$B$9)-SUM(B$19:B20)</f>
        <v>6300</v>
      </c>
      <c r="E20" s="13"/>
      <c r="F20" s="13"/>
      <c r="G20" s="13"/>
      <c r="H20" s="13"/>
      <c r="I20" s="14" t="str">
        <f aca="false">IF(E20="","",$B$5+SUM(E$19:F20)-SUM(G$19:H20))</f>
        <v/>
      </c>
      <c r="J20" s="15" t="str">
        <f aca="false">IF(I20="","",I20/$B$6)</f>
        <v/>
      </c>
      <c r="K20" s="16" t="str">
        <f aca="false">IF(I20="","",IF(I20&gt;=$B$6,"GOAL HIT",IF(I20&gt;=C20,"On track","Behind")))</f>
        <v/>
      </c>
    </row>
    <row r="21" customFormat="false" ht="15" hidden="false" customHeight="false" outlineLevel="0" collapsed="false">
      <c r="A21" s="12" t="n">
        <v>46321</v>
      </c>
      <c r="B21" s="13" t="n">
        <v>0</v>
      </c>
      <c r="C21" s="14" t="n">
        <f aca="false">$B$5+ROWS(A$19:A21)*($B$7-$B$9)-SUM(B$19:B21)</f>
        <v>5300</v>
      </c>
      <c r="D21" s="14" t="n">
        <f aca="false">$B$5+ROWS(A$19:A21)*($B$8-$B$9)-SUM(B$19:B21)</f>
        <v>8300</v>
      </c>
      <c r="E21" s="13"/>
      <c r="F21" s="13"/>
      <c r="G21" s="13"/>
      <c r="H21" s="13"/>
      <c r="I21" s="14" t="str">
        <f aca="false">IF(E21="","",$B$5+SUM(E$19:F21)-SUM(G$19:H21))</f>
        <v/>
      </c>
      <c r="J21" s="15" t="str">
        <f aca="false">IF(I21="","",I21/$B$6)</f>
        <v/>
      </c>
      <c r="K21" s="16" t="str">
        <f aca="false">IF(I21="","",IF(I21&gt;=$B$6,"GOAL HIT",IF(I21&gt;=C21,"On track","Behind")))</f>
        <v/>
      </c>
    </row>
    <row r="22" customFormat="false" ht="15" hidden="false" customHeight="false" outlineLevel="0" collapsed="false">
      <c r="A22" s="12" t="n">
        <v>46328</v>
      </c>
      <c r="B22" s="13" t="n">
        <v>0</v>
      </c>
      <c r="C22" s="14" t="n">
        <f aca="false">$B$5+ROWS(A$19:A22)*($B$7-$B$9)-SUM(B$19:B22)</f>
        <v>6300</v>
      </c>
      <c r="D22" s="14" t="n">
        <f aca="false">$B$5+ROWS(A$19:A22)*($B$8-$B$9)-SUM(B$19:B22)</f>
        <v>10300</v>
      </c>
      <c r="E22" s="13"/>
      <c r="F22" s="13"/>
      <c r="G22" s="13"/>
      <c r="H22" s="13"/>
      <c r="I22" s="14" t="str">
        <f aca="false">IF(E22="","",$B$5+SUM(E$19:F22)-SUM(G$19:H22))</f>
        <v/>
      </c>
      <c r="J22" s="15" t="str">
        <f aca="false">IF(I22="","",I22/$B$6)</f>
        <v/>
      </c>
      <c r="K22" s="16" t="str">
        <f aca="false">IF(I22="","",IF(I22&gt;=$B$6,"GOAL HIT",IF(I22&gt;=C22,"On track","Behind")))</f>
        <v/>
      </c>
    </row>
    <row r="23" customFormat="false" ht="15" hidden="false" customHeight="false" outlineLevel="0" collapsed="false">
      <c r="A23" s="12" t="n">
        <v>46335</v>
      </c>
      <c r="B23" s="13" t="n">
        <v>0</v>
      </c>
      <c r="C23" s="14" t="n">
        <f aca="false">$B$5+ROWS(A$19:A23)*($B$7-$B$9)-SUM(B$19:B23)</f>
        <v>7300</v>
      </c>
      <c r="D23" s="14" t="n">
        <f aca="false">$B$5+ROWS(A$19:A23)*($B$8-$B$9)-SUM(B$19:B23)</f>
        <v>12300</v>
      </c>
      <c r="E23" s="13"/>
      <c r="F23" s="13"/>
      <c r="G23" s="13"/>
      <c r="H23" s="13"/>
      <c r="I23" s="14" t="str">
        <f aca="false">IF(E23="","",$B$5+SUM(E$19:F23)-SUM(G$19:H23))</f>
        <v/>
      </c>
      <c r="J23" s="15" t="str">
        <f aca="false">IF(I23="","",I23/$B$6)</f>
        <v/>
      </c>
      <c r="K23" s="16" t="str">
        <f aca="false">IF(I23="","",IF(I23&gt;=$B$6,"GOAL HIT",IF(I23&gt;=C23,"On track","Behind")))</f>
        <v/>
      </c>
    </row>
    <row r="24" customFormat="false" ht="15" hidden="false" customHeight="false" outlineLevel="0" collapsed="false">
      <c r="A24" s="12" t="n">
        <v>46342</v>
      </c>
      <c r="B24" s="13" t="n">
        <v>0</v>
      </c>
      <c r="C24" s="14" t="n">
        <f aca="false">$B$5+ROWS(A$19:A24)*($B$7-$B$9)-SUM(B$19:B24)</f>
        <v>8300</v>
      </c>
      <c r="D24" s="14" t="n">
        <f aca="false">$B$5+ROWS(A$19:A24)*($B$8-$B$9)-SUM(B$19:B24)</f>
        <v>14300</v>
      </c>
      <c r="E24" s="13"/>
      <c r="F24" s="13"/>
      <c r="G24" s="13"/>
      <c r="H24" s="13"/>
      <c r="I24" s="14" t="str">
        <f aca="false">IF(E24="","",$B$5+SUM(E$19:F24)-SUM(G$19:H24))</f>
        <v/>
      </c>
      <c r="J24" s="15" t="str">
        <f aca="false">IF(I24="","",I24/$B$6)</f>
        <v/>
      </c>
      <c r="K24" s="16" t="str">
        <f aca="false">IF(I24="","",IF(I24&gt;=$B$6,"GOAL HIT",IF(I24&gt;=C24,"On track","Behind")))</f>
        <v/>
      </c>
    </row>
    <row r="25" customFormat="false" ht="15" hidden="false" customHeight="false" outlineLevel="0" collapsed="false">
      <c r="A25" s="12" t="n">
        <v>46349</v>
      </c>
      <c r="B25" s="13" t="n">
        <v>0</v>
      </c>
      <c r="C25" s="14" t="n">
        <f aca="false">$B$5+ROWS(A$19:A25)*($B$7-$B$9)-SUM(B$19:B25)</f>
        <v>9300</v>
      </c>
      <c r="D25" s="14" t="n">
        <f aca="false">$B$5+ROWS(A$19:A25)*($B$8-$B$9)-SUM(B$19:B25)</f>
        <v>16300</v>
      </c>
      <c r="E25" s="13"/>
      <c r="F25" s="13"/>
      <c r="G25" s="13"/>
      <c r="H25" s="13"/>
      <c r="I25" s="14" t="str">
        <f aca="false">IF(E25="","",$B$5+SUM(E$19:F25)-SUM(G$19:H25))</f>
        <v/>
      </c>
      <c r="J25" s="15" t="str">
        <f aca="false">IF(I25="","",I25/$B$6)</f>
        <v/>
      </c>
      <c r="K25" s="16" t="str">
        <f aca="false">IF(I25="","",IF(I25&gt;=$B$6,"GOAL HIT",IF(I25&gt;=C25,"On track","Behind")))</f>
        <v/>
      </c>
    </row>
    <row r="26" customFormat="false" ht="15" hidden="false" customHeight="false" outlineLevel="0" collapsed="false">
      <c r="A26" s="12" t="n">
        <v>46356</v>
      </c>
      <c r="B26" s="13" t="n">
        <v>150</v>
      </c>
      <c r="C26" s="14" t="n">
        <f aca="false">$B$5+ROWS(A$19:A26)*($B$7-$B$9)-SUM(B$19:B26)</f>
        <v>10150</v>
      </c>
      <c r="D26" s="14" t="n">
        <f aca="false">$B$5+ROWS(A$19:A26)*($B$8-$B$9)-SUM(B$19:B26)</f>
        <v>18150</v>
      </c>
      <c r="E26" s="13"/>
      <c r="F26" s="13"/>
      <c r="G26" s="13"/>
      <c r="H26" s="13"/>
      <c r="I26" s="14" t="str">
        <f aca="false">IF(E26="","",$B$5+SUM(E$19:F26)-SUM(G$19:H26))</f>
        <v/>
      </c>
      <c r="J26" s="15" t="str">
        <f aca="false">IF(I26="","",I26/$B$6)</f>
        <v/>
      </c>
      <c r="K26" s="16" t="str">
        <f aca="false">IF(I26="","",IF(I26&gt;=$B$6,"GOAL HIT",IF(I26&gt;=C26,"On track","Behind")))</f>
        <v/>
      </c>
    </row>
    <row r="27" customFormat="false" ht="15" hidden="false" customHeight="false" outlineLevel="0" collapsed="false">
      <c r="A27" s="12" t="n">
        <v>46363</v>
      </c>
      <c r="B27" s="13" t="n">
        <v>0</v>
      </c>
      <c r="C27" s="14" t="n">
        <f aca="false">$B$5+ROWS(A$19:A27)*($B$7-$B$9)-SUM(B$19:B27)</f>
        <v>11150</v>
      </c>
      <c r="D27" s="14" t="n">
        <f aca="false">$B$5+ROWS(A$19:A27)*($B$8-$B$9)-SUM(B$19:B27)</f>
        <v>20150</v>
      </c>
      <c r="E27" s="13"/>
      <c r="F27" s="13"/>
      <c r="G27" s="13"/>
      <c r="H27" s="13"/>
      <c r="I27" s="14" t="str">
        <f aca="false">IF(E27="","",$B$5+SUM(E$19:F27)-SUM(G$19:H27))</f>
        <v/>
      </c>
      <c r="J27" s="15" t="str">
        <f aca="false">IF(I27="","",I27/$B$6)</f>
        <v/>
      </c>
      <c r="K27" s="16" t="str">
        <f aca="false">IF(I27="","",IF(I27&gt;=$B$6,"GOAL HIT",IF(I27&gt;=C27,"On track","Behind")))</f>
        <v/>
      </c>
    </row>
    <row r="28" customFormat="false" ht="15" hidden="false" customHeight="false" outlineLevel="0" collapsed="false">
      <c r="A28" s="12" t="n">
        <v>46370</v>
      </c>
      <c r="B28" s="13" t="n">
        <v>0</v>
      </c>
      <c r="C28" s="14" t="n">
        <f aca="false">$B$5+ROWS(A$19:A28)*($B$7-$B$9)-SUM(B$19:B28)</f>
        <v>12150</v>
      </c>
      <c r="D28" s="14" t="n">
        <f aca="false">$B$5+ROWS(A$19:A28)*($B$8-$B$9)-SUM(B$19:B28)</f>
        <v>22150</v>
      </c>
      <c r="E28" s="13"/>
      <c r="F28" s="13"/>
      <c r="G28" s="13"/>
      <c r="H28" s="13"/>
      <c r="I28" s="14" t="str">
        <f aca="false">IF(E28="","",$B$5+SUM(E$19:F28)-SUM(G$19:H28))</f>
        <v/>
      </c>
      <c r="J28" s="15" t="str">
        <f aca="false">IF(I28="","",I28/$B$6)</f>
        <v/>
      </c>
      <c r="K28" s="16" t="str">
        <f aca="false">IF(I28="","",IF(I28&gt;=$B$6,"GOAL HIT",IF(I28&gt;=C28,"On track","Behind")))</f>
        <v/>
      </c>
    </row>
    <row r="29" customFormat="false" ht="15" hidden="false" customHeight="false" outlineLevel="0" collapsed="false">
      <c r="A29" s="12" t="n">
        <v>46377</v>
      </c>
      <c r="B29" s="13" t="n">
        <v>300</v>
      </c>
      <c r="C29" s="14" t="n">
        <f aca="false">$B$5+ROWS(A$19:A29)*($B$7-$B$9)-SUM(B$19:B29)</f>
        <v>12850</v>
      </c>
      <c r="D29" s="14" t="n">
        <f aca="false">$B$5+ROWS(A$19:A29)*($B$8-$B$9)-SUM(B$19:B29)</f>
        <v>23850</v>
      </c>
      <c r="E29" s="13"/>
      <c r="F29" s="13"/>
      <c r="G29" s="13"/>
      <c r="H29" s="13"/>
      <c r="I29" s="14" t="str">
        <f aca="false">IF(E29="","",$B$5+SUM(E$19:F29)-SUM(G$19:H29))</f>
        <v/>
      </c>
      <c r="J29" s="15" t="str">
        <f aca="false">IF(I29="","",I29/$B$6)</f>
        <v/>
      </c>
      <c r="K29" s="16" t="str">
        <f aca="false">IF(I29="","",IF(I29&gt;=$B$6,"GOAL HIT",IF(I29&gt;=C29,"On track","Behind")))</f>
        <v/>
      </c>
    </row>
    <row r="30" customFormat="false" ht="15" hidden="false" customHeight="false" outlineLevel="0" collapsed="false">
      <c r="A30" s="12" t="n">
        <v>46384</v>
      </c>
      <c r="B30" s="13" t="n">
        <v>0</v>
      </c>
      <c r="C30" s="14" t="n">
        <f aca="false">$B$5+ROWS(A$19:A30)*($B$7-$B$9)-SUM(B$19:B30)</f>
        <v>13850</v>
      </c>
      <c r="D30" s="14" t="n">
        <f aca="false">$B$5+ROWS(A$19:A30)*($B$8-$B$9)-SUM(B$19:B30)</f>
        <v>25850</v>
      </c>
      <c r="E30" s="13"/>
      <c r="F30" s="13"/>
      <c r="G30" s="13"/>
      <c r="H30" s="13"/>
      <c r="I30" s="14" t="str">
        <f aca="false">IF(E30="","",$B$5+SUM(E$19:F30)-SUM(G$19:H30))</f>
        <v/>
      </c>
      <c r="J30" s="15" t="str">
        <f aca="false">IF(I30="","",I30/$B$6)</f>
        <v/>
      </c>
      <c r="K30" s="16" t="str">
        <f aca="false">IF(I30="","",IF(I30&gt;=$B$6,"GOAL HIT",IF(I30&gt;=C30,"On track","Behind")))</f>
        <v/>
      </c>
    </row>
    <row r="32" customFormat="false" ht="15" hidden="false" customHeight="false" outlineLevel="0" collapsed="false">
      <c r="A32" s="3" t="s">
        <v>35</v>
      </c>
    </row>
    <row r="33" customFormat="false" ht="15" hidden="false" customHeight="false" outlineLevel="0" collapsed="false">
      <c r="A33" s="4" t="s">
        <v>36</v>
      </c>
      <c r="B33" s="17" t="n">
        <f aca="false">IFERROR(INDEX(A19:A30,MATCH(1,INDEX((C19:C30&gt;=$B$6)*1,0),0)),"Not by Jan 1")</f>
        <v>46328</v>
      </c>
    </row>
    <row r="34" customFormat="false" ht="15" hidden="false" customHeight="false" outlineLevel="0" collapsed="false">
      <c r="A34" s="4" t="s">
        <v>37</v>
      </c>
      <c r="B34" s="17" t="n">
        <f aca="false">IFERROR(INDEX(A19:A30,MATCH(1,INDEX((D19:D30&gt;=$B$6)*1,0),0)),"Not by Jan 1")</f>
        <v>46314</v>
      </c>
    </row>
    <row r="35" customFormat="false" ht="15" hidden="false" customHeight="false" outlineLevel="0" collapsed="false">
      <c r="A35" s="4" t="s">
        <v>38</v>
      </c>
      <c r="B35" s="6" t="n">
        <f aca="false">C30</f>
        <v>13850</v>
      </c>
    </row>
    <row r="36" customFormat="false" ht="15" hidden="false" customHeight="false" outlineLevel="0" collapsed="false">
      <c r="A36" s="4" t="s">
        <v>39</v>
      </c>
      <c r="B36" s="6" t="n">
        <f aca="false">D30</f>
        <v>25850</v>
      </c>
    </row>
    <row r="37" customFormat="false" ht="15" hidden="false" customHeight="false" outlineLevel="0" collapsed="false">
      <c r="A37" s="4" t="s">
        <v>40</v>
      </c>
      <c r="B37" s="18" t="n">
        <f aca="false">COUNT(E19:E30)</f>
        <v>0</v>
      </c>
    </row>
    <row r="38" customFormat="false" ht="15" hidden="false" customHeight="false" outlineLevel="0" collapsed="false">
      <c r="A38" s="4" t="s">
        <v>41</v>
      </c>
      <c r="B38" s="6" t="str">
        <f aca="false">IFERROR(AVERAGE(E19:E30),"—")</f>
        <v>—</v>
      </c>
    </row>
    <row r="39" customFormat="false" ht="15" hidden="false" customHeight="false" outlineLevel="0" collapsed="false">
      <c r="A39" s="4" t="s">
        <v>42</v>
      </c>
      <c r="B39" s="6" t="str">
        <f aca="false">IFERROR(LOOKUP(2,1/(I19:I30&lt;&gt;""),I19:I30),"—")</f>
        <v>—</v>
      </c>
    </row>
    <row r="41" customFormat="false" ht="15" hidden="false" customHeight="false" outlineLevel="0" collapsed="false">
      <c r="A41" s="19" t="s">
        <v>43</v>
      </c>
    </row>
    <row r="42" customFormat="false" ht="15" hidden="false" customHeight="false" outlineLevel="0" collapsed="false">
      <c r="A42" s="20" t="s">
        <v>44</v>
      </c>
    </row>
    <row r="43" customFormat="false" ht="15" hidden="false" customHeight="false" outlineLevel="0" collapsed="false">
      <c r="A43" s="20" t="s">
        <v>45</v>
      </c>
    </row>
    <row r="44" customFormat="false" ht="15" hidden="false" customHeight="false" outlineLevel="0" collapsed="false">
      <c r="A44" s="20" t="s">
        <v>46</v>
      </c>
    </row>
    <row r="45" customFormat="false" ht="15" hidden="false" customHeight="false" outlineLevel="0" collapsed="false">
      <c r="A45" s="20" t="s">
        <v>47</v>
      </c>
    </row>
  </sheetData>
  <conditionalFormatting sqref="K19:K30">
    <cfRule type="cellIs" priority="2" operator="equal" aboveAverage="0" equalAverage="0" bottom="0" percent="0" rank="0" text="" dxfId="0">
      <formula>"GOAL HIT"</formula>
    </cfRule>
    <cfRule type="cellIs" priority="3" operator="equal" aboveAverage="0" equalAverage="0" bottom="0" percent="0" rank="0" text="" dxfId="1">
      <formula>"On track"</formula>
    </cfRule>
    <cfRule type="cellIs" priority="4" operator="equal" aboveAverage="0" equalAverage="0" bottom="0" percent="0" rank="0" text="" dxfId="2">
      <formula>"Behind"</formula>
    </cfRule>
  </conditionalFormatting>
  <conditionalFormatting sqref="C19:D30">
    <cfRule type="expression" priority="5" aboveAverage="0" equalAverage="0" bottom="0" percent="0" rank="0" text="" dxfId="3">
      <formula>C19&gt;=$B$6</formula>
    </cfRule>
  </conditionalFormatting>
  <conditionalFormatting sqref="J19:J30">
    <cfRule type="dataBar" priority="6">
      <dataBar showValue="1" minLength="10" maxLength="90">
        <cfvo type="num" val="0"/>
        <cfvo type="num" val="1"/>
        <color rgb="FF4472C4"/>
      </dataBar>
      <extLst>
        <ext xmlns:x14="http://schemas.microsoft.com/office/spreadsheetml/2009/9/main" uri="{B025F937-C7B1-47D3-B67F-A62EFF666E3E}">
          <x14:id>{1E11293D-F2B7-44E0-9FCB-50314CF0F030}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E11293D-F2B7-44E0-9FCB-50314CF0F03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4472C4"/>
              <x14:axisColor rgb="FF000000"/>
            </x14:dataBar>
          </x14:cfRule>
          <xm:sqref>J19:J30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0" topLeftCell="B11" activePane="bottomRight" state="frozen"/>
      <selection pane="topLeft" activeCell="A1" activeCellId="0" sqref="A1"/>
      <selection pane="topRight" activeCell="B1" activeCellId="0" sqref="B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5"/>
    <col collapsed="false" customWidth="true" hidden="false" outlineLevel="0" max="9" min="9" style="0" width="8"/>
    <col collapsed="false" customWidth="true" hidden="false" outlineLevel="0" max="16" min="10" style="0" width="5"/>
    <col collapsed="false" customWidth="true" hidden="false" outlineLevel="0" max="17" min="17" style="0" width="8"/>
    <col collapsed="false" customWidth="true" hidden="false" outlineLevel="0" max="19" min="18" style="0" width="9"/>
    <col collapsed="false" customWidth="true" hidden="false" outlineLevel="0" max="20" min="20" style="0" width="36"/>
  </cols>
  <sheetData>
    <row r="1" customFormat="false" ht="17.35" hidden="false" customHeight="false" outlineLevel="0" collapsed="false">
      <c r="A1" s="1" t="s">
        <v>48</v>
      </c>
    </row>
    <row r="2" customFormat="false" ht="15" hidden="false" customHeight="false" outlineLevel="0" collapsed="false">
      <c r="A2" s="2" t="s">
        <v>49</v>
      </c>
    </row>
    <row r="4" customFormat="false" ht="15" hidden="false" customHeight="false" outlineLevel="0" collapsed="false">
      <c r="A4" s="4" t="s">
        <v>50</v>
      </c>
      <c r="B4" s="21" t="n">
        <v>4</v>
      </c>
    </row>
    <row r="5" customFormat="false" ht="15" hidden="false" customHeight="false" outlineLevel="0" collapsed="false">
      <c r="A5" s="4" t="s">
        <v>51</v>
      </c>
      <c r="B5" s="21" t="n">
        <v>7</v>
      </c>
    </row>
    <row r="6" customFormat="false" ht="15" hidden="false" customHeight="false" outlineLevel="0" collapsed="false">
      <c r="A6" s="7" t="s">
        <v>52</v>
      </c>
    </row>
    <row r="8" customFormat="false" ht="15" hidden="false" customHeight="false" outlineLevel="0" collapsed="false">
      <c r="B8" s="22" t="s">
        <v>53</v>
      </c>
      <c r="J8" s="23" t="s">
        <v>54</v>
      </c>
    </row>
    <row r="9" customFormat="false" ht="31.5" hidden="false" customHeight="true" outlineLevel="0" collapsed="false">
      <c r="A9" s="11" t="s">
        <v>24</v>
      </c>
      <c r="B9" s="11" t="s">
        <v>55</v>
      </c>
      <c r="C9" s="11" t="s">
        <v>56</v>
      </c>
      <c r="D9" s="11" t="s">
        <v>57</v>
      </c>
      <c r="E9" s="11" t="s">
        <v>56</v>
      </c>
      <c r="F9" s="11" t="s">
        <v>58</v>
      </c>
      <c r="G9" s="11" t="s">
        <v>59</v>
      </c>
      <c r="H9" s="11" t="s">
        <v>59</v>
      </c>
      <c r="I9" s="11" t="s">
        <v>60</v>
      </c>
      <c r="J9" s="11" t="s">
        <v>55</v>
      </c>
      <c r="K9" s="11" t="s">
        <v>56</v>
      </c>
      <c r="L9" s="11" t="s">
        <v>57</v>
      </c>
      <c r="M9" s="11" t="s">
        <v>56</v>
      </c>
      <c r="N9" s="11" t="s">
        <v>58</v>
      </c>
      <c r="O9" s="11" t="s">
        <v>59</v>
      </c>
      <c r="P9" s="11" t="s">
        <v>59</v>
      </c>
      <c r="Q9" s="11" t="s">
        <v>61</v>
      </c>
      <c r="R9" s="11" t="s">
        <v>62</v>
      </c>
      <c r="S9" s="11" t="s">
        <v>63</v>
      </c>
      <c r="T9" s="11" t="s">
        <v>64</v>
      </c>
    </row>
    <row r="10" customFormat="false" ht="15" hidden="false" customHeight="false" outlineLevel="0" collapsed="false">
      <c r="A10" s="24" t="s">
        <v>65</v>
      </c>
      <c r="B10" s="24" t="s">
        <v>66</v>
      </c>
      <c r="C10" s="24"/>
      <c r="D10" s="24" t="s">
        <v>66</v>
      </c>
      <c r="E10" s="24"/>
      <c r="F10" s="24" t="s">
        <v>66</v>
      </c>
      <c r="G10" s="24" t="s">
        <v>66</v>
      </c>
      <c r="H10" s="24"/>
      <c r="I10" s="24" t="n">
        <f aca="false">COUNTIF(B10:H10,"x")</f>
        <v>4</v>
      </c>
      <c r="J10" s="24" t="s">
        <v>66</v>
      </c>
      <c r="K10" s="24" t="s">
        <v>66</v>
      </c>
      <c r="L10" s="24" t="s">
        <v>66</v>
      </c>
      <c r="M10" s="24" t="s">
        <v>66</v>
      </c>
      <c r="N10" s="24" t="s">
        <v>66</v>
      </c>
      <c r="O10" s="24" t="s">
        <v>66</v>
      </c>
      <c r="P10" s="24" t="s">
        <v>66</v>
      </c>
      <c r="Q10" s="24" t="n">
        <f aca="false">COUNTIF(J10:P10,"x")</f>
        <v>7</v>
      </c>
      <c r="R10" s="24" t="str">
        <f aca="false">IF(I10&gt;=$B$4,"Yes","No")</f>
        <v>Yes</v>
      </c>
      <c r="S10" s="24" t="str">
        <f aca="false">IF(Q10&gt;=$B$5,"Yes","No")</f>
        <v>Yes</v>
      </c>
      <c r="T10" s="24" t="s">
        <v>67</v>
      </c>
    </row>
    <row r="11" customFormat="false" ht="15" hidden="false" customHeight="false" outlineLevel="0" collapsed="false">
      <c r="A11" s="25" t="n">
        <v>46307</v>
      </c>
      <c r="B11" s="26"/>
      <c r="C11" s="26"/>
      <c r="D11" s="26"/>
      <c r="E11" s="26"/>
      <c r="F11" s="26"/>
      <c r="G11" s="26"/>
      <c r="H11" s="26"/>
      <c r="I11" s="27" t="n">
        <f aca="false">COUNTIF(B11:H11,"x")</f>
        <v>0</v>
      </c>
      <c r="J11" s="26"/>
      <c r="K11" s="26"/>
      <c r="L11" s="26"/>
      <c r="M11" s="26"/>
      <c r="N11" s="26"/>
      <c r="O11" s="26"/>
      <c r="P11" s="26"/>
      <c r="Q11" s="27" t="n">
        <f aca="false">COUNTIF(J11:P11,"x")</f>
        <v>0</v>
      </c>
      <c r="R11" s="26" t="str">
        <f aca="false">IF(COUNTA(B11:H11)=0,"",IF(I11&gt;=$B$4,"Yes","No"))</f>
        <v/>
      </c>
      <c r="S11" s="26" t="str">
        <f aca="false">IF(COUNTA(J11:P11)=0,"",IF(Q11&gt;=$B$5,"Yes","No"))</f>
        <v/>
      </c>
      <c r="T11" s="28"/>
    </row>
    <row r="12" customFormat="false" ht="15" hidden="false" customHeight="false" outlineLevel="0" collapsed="false">
      <c r="A12" s="25" t="n">
        <v>46314</v>
      </c>
      <c r="B12" s="26"/>
      <c r="C12" s="26"/>
      <c r="D12" s="26"/>
      <c r="E12" s="26"/>
      <c r="F12" s="26"/>
      <c r="G12" s="26"/>
      <c r="H12" s="26"/>
      <c r="I12" s="27" t="n">
        <f aca="false">COUNTIF(B12:H12,"x")</f>
        <v>0</v>
      </c>
      <c r="J12" s="26"/>
      <c r="K12" s="26"/>
      <c r="L12" s="26"/>
      <c r="M12" s="26"/>
      <c r="N12" s="26"/>
      <c r="O12" s="26"/>
      <c r="P12" s="26"/>
      <c r="Q12" s="27" t="n">
        <f aca="false">COUNTIF(J12:P12,"x")</f>
        <v>0</v>
      </c>
      <c r="R12" s="26" t="str">
        <f aca="false">IF(COUNTA(B12:H12)=0,"",IF(I12&gt;=$B$4,"Yes","No"))</f>
        <v/>
      </c>
      <c r="S12" s="26" t="str">
        <f aca="false">IF(COUNTA(J12:P12)=0,"",IF(Q12&gt;=$B$5,"Yes","No"))</f>
        <v/>
      </c>
      <c r="T12" s="28"/>
    </row>
    <row r="13" customFormat="false" ht="15" hidden="false" customHeight="false" outlineLevel="0" collapsed="false">
      <c r="A13" s="25" t="n">
        <v>46321</v>
      </c>
      <c r="B13" s="26"/>
      <c r="C13" s="26"/>
      <c r="D13" s="26"/>
      <c r="E13" s="26"/>
      <c r="F13" s="26"/>
      <c r="G13" s="26"/>
      <c r="H13" s="26"/>
      <c r="I13" s="27" t="n">
        <f aca="false">COUNTIF(B13:H13,"x")</f>
        <v>0</v>
      </c>
      <c r="J13" s="26"/>
      <c r="K13" s="26"/>
      <c r="L13" s="26"/>
      <c r="M13" s="26"/>
      <c r="N13" s="26"/>
      <c r="O13" s="26"/>
      <c r="P13" s="26"/>
      <c r="Q13" s="27" t="n">
        <f aca="false">COUNTIF(J13:P13,"x")</f>
        <v>0</v>
      </c>
      <c r="R13" s="26" t="str">
        <f aca="false">IF(COUNTA(B13:H13)=0,"",IF(I13&gt;=$B$4,"Yes","No"))</f>
        <v/>
      </c>
      <c r="S13" s="26" t="str">
        <f aca="false">IF(COUNTA(J13:P13)=0,"",IF(Q13&gt;=$B$5,"Yes","No"))</f>
        <v/>
      </c>
      <c r="T13" s="28"/>
    </row>
    <row r="14" customFormat="false" ht="15" hidden="false" customHeight="false" outlineLevel="0" collapsed="false">
      <c r="A14" s="25" t="n">
        <v>46328</v>
      </c>
      <c r="B14" s="26"/>
      <c r="C14" s="26"/>
      <c r="D14" s="26"/>
      <c r="E14" s="26"/>
      <c r="F14" s="26"/>
      <c r="G14" s="26"/>
      <c r="H14" s="26"/>
      <c r="I14" s="27" t="n">
        <f aca="false">COUNTIF(B14:H14,"x")</f>
        <v>0</v>
      </c>
      <c r="J14" s="26"/>
      <c r="K14" s="26"/>
      <c r="L14" s="26"/>
      <c r="M14" s="26"/>
      <c r="N14" s="26"/>
      <c r="O14" s="26"/>
      <c r="P14" s="26"/>
      <c r="Q14" s="27" t="n">
        <f aca="false">COUNTIF(J14:P14,"x")</f>
        <v>0</v>
      </c>
      <c r="R14" s="26" t="str">
        <f aca="false">IF(COUNTA(B14:H14)=0,"",IF(I14&gt;=$B$4,"Yes","No"))</f>
        <v/>
      </c>
      <c r="S14" s="26" t="str">
        <f aca="false">IF(COUNTA(J14:P14)=0,"",IF(Q14&gt;=$B$5,"Yes","No"))</f>
        <v/>
      </c>
      <c r="T14" s="28"/>
    </row>
    <row r="15" customFormat="false" ht="15" hidden="false" customHeight="false" outlineLevel="0" collapsed="false">
      <c r="A15" s="25" t="n">
        <v>46335</v>
      </c>
      <c r="B15" s="26"/>
      <c r="C15" s="26"/>
      <c r="D15" s="26"/>
      <c r="E15" s="26"/>
      <c r="F15" s="26"/>
      <c r="G15" s="26"/>
      <c r="H15" s="26"/>
      <c r="I15" s="27" t="n">
        <f aca="false">COUNTIF(B15:H15,"x")</f>
        <v>0</v>
      </c>
      <c r="J15" s="26"/>
      <c r="K15" s="26"/>
      <c r="L15" s="26"/>
      <c r="M15" s="26"/>
      <c r="N15" s="26"/>
      <c r="O15" s="26"/>
      <c r="P15" s="26"/>
      <c r="Q15" s="27" t="n">
        <f aca="false">COUNTIF(J15:P15,"x")</f>
        <v>0</v>
      </c>
      <c r="R15" s="26" t="str">
        <f aca="false">IF(COUNTA(B15:H15)=0,"",IF(I15&gt;=$B$4,"Yes","No"))</f>
        <v/>
      </c>
      <c r="S15" s="26" t="str">
        <f aca="false">IF(COUNTA(J15:P15)=0,"",IF(Q15&gt;=$B$5,"Yes","No"))</f>
        <v/>
      </c>
      <c r="T15" s="28"/>
    </row>
    <row r="16" customFormat="false" ht="15" hidden="false" customHeight="false" outlineLevel="0" collapsed="false">
      <c r="A16" s="25" t="n">
        <v>46342</v>
      </c>
      <c r="B16" s="26"/>
      <c r="C16" s="26"/>
      <c r="D16" s="26"/>
      <c r="E16" s="26"/>
      <c r="F16" s="26"/>
      <c r="G16" s="26"/>
      <c r="H16" s="26"/>
      <c r="I16" s="27" t="n">
        <f aca="false">COUNTIF(B16:H16,"x")</f>
        <v>0</v>
      </c>
      <c r="J16" s="26"/>
      <c r="K16" s="26"/>
      <c r="L16" s="26"/>
      <c r="M16" s="26"/>
      <c r="N16" s="26"/>
      <c r="O16" s="26"/>
      <c r="P16" s="26"/>
      <c r="Q16" s="27" t="n">
        <f aca="false">COUNTIF(J16:P16,"x")</f>
        <v>0</v>
      </c>
      <c r="R16" s="26" t="str">
        <f aca="false">IF(COUNTA(B16:H16)=0,"",IF(I16&gt;=$B$4,"Yes","No"))</f>
        <v/>
      </c>
      <c r="S16" s="26" t="str">
        <f aca="false">IF(COUNTA(J16:P16)=0,"",IF(Q16&gt;=$B$5,"Yes","No"))</f>
        <v/>
      </c>
      <c r="T16" s="28"/>
    </row>
    <row r="17" customFormat="false" ht="15" hidden="false" customHeight="false" outlineLevel="0" collapsed="false">
      <c r="A17" s="25" t="n">
        <v>46349</v>
      </c>
      <c r="B17" s="26"/>
      <c r="C17" s="26"/>
      <c r="D17" s="26"/>
      <c r="E17" s="26"/>
      <c r="F17" s="26"/>
      <c r="G17" s="26"/>
      <c r="H17" s="26"/>
      <c r="I17" s="27" t="n">
        <f aca="false">COUNTIF(B17:H17,"x")</f>
        <v>0</v>
      </c>
      <c r="J17" s="26"/>
      <c r="K17" s="26"/>
      <c r="L17" s="26"/>
      <c r="M17" s="26"/>
      <c r="N17" s="26"/>
      <c r="O17" s="26"/>
      <c r="P17" s="26"/>
      <c r="Q17" s="27" t="n">
        <f aca="false">COUNTIF(J17:P17,"x")</f>
        <v>0</v>
      </c>
      <c r="R17" s="26" t="str">
        <f aca="false">IF(COUNTA(B17:H17)=0,"",IF(I17&gt;=$B$4,"Yes","No"))</f>
        <v/>
      </c>
      <c r="S17" s="26" t="str">
        <f aca="false">IF(COUNTA(J17:P17)=0,"",IF(Q17&gt;=$B$5,"Yes","No"))</f>
        <v/>
      </c>
      <c r="T17" s="28"/>
    </row>
    <row r="18" customFormat="false" ht="15" hidden="false" customHeight="false" outlineLevel="0" collapsed="false">
      <c r="A18" s="25" t="n">
        <v>46356</v>
      </c>
      <c r="B18" s="26"/>
      <c r="C18" s="26"/>
      <c r="D18" s="26"/>
      <c r="E18" s="26"/>
      <c r="F18" s="26"/>
      <c r="G18" s="26"/>
      <c r="H18" s="26"/>
      <c r="I18" s="27" t="n">
        <f aca="false">COUNTIF(B18:H18,"x")</f>
        <v>0</v>
      </c>
      <c r="J18" s="26"/>
      <c r="K18" s="26"/>
      <c r="L18" s="26"/>
      <c r="M18" s="26"/>
      <c r="N18" s="26"/>
      <c r="O18" s="26"/>
      <c r="P18" s="26"/>
      <c r="Q18" s="27" t="n">
        <f aca="false">COUNTIF(J18:P18,"x")</f>
        <v>0</v>
      </c>
      <c r="R18" s="26" t="str">
        <f aca="false">IF(COUNTA(B18:H18)=0,"",IF(I18&gt;=$B$4,"Yes","No"))</f>
        <v/>
      </c>
      <c r="S18" s="26" t="str">
        <f aca="false">IF(COUNTA(J18:P18)=0,"",IF(Q18&gt;=$B$5,"Yes","No"))</f>
        <v/>
      </c>
      <c r="T18" s="28"/>
    </row>
    <row r="19" customFormat="false" ht="15" hidden="false" customHeight="false" outlineLevel="0" collapsed="false">
      <c r="A19" s="25" t="n">
        <v>46363</v>
      </c>
      <c r="B19" s="26"/>
      <c r="C19" s="26"/>
      <c r="D19" s="26"/>
      <c r="E19" s="26"/>
      <c r="F19" s="26"/>
      <c r="G19" s="26"/>
      <c r="H19" s="26"/>
      <c r="I19" s="27" t="n">
        <f aca="false">COUNTIF(B19:H19,"x")</f>
        <v>0</v>
      </c>
      <c r="J19" s="26"/>
      <c r="K19" s="26"/>
      <c r="L19" s="26"/>
      <c r="M19" s="26"/>
      <c r="N19" s="26"/>
      <c r="O19" s="26"/>
      <c r="P19" s="26"/>
      <c r="Q19" s="27" t="n">
        <f aca="false">COUNTIF(J19:P19,"x")</f>
        <v>0</v>
      </c>
      <c r="R19" s="26" t="str">
        <f aca="false">IF(COUNTA(B19:H19)=0,"",IF(I19&gt;=$B$4,"Yes","No"))</f>
        <v/>
      </c>
      <c r="S19" s="26" t="str">
        <f aca="false">IF(COUNTA(J19:P19)=0,"",IF(Q19&gt;=$B$5,"Yes","No"))</f>
        <v/>
      </c>
      <c r="T19" s="28"/>
    </row>
    <row r="20" customFormat="false" ht="15" hidden="false" customHeight="false" outlineLevel="0" collapsed="false">
      <c r="A20" s="25" t="n">
        <v>46370</v>
      </c>
      <c r="B20" s="26"/>
      <c r="C20" s="26"/>
      <c r="D20" s="26"/>
      <c r="E20" s="26"/>
      <c r="F20" s="26"/>
      <c r="G20" s="26"/>
      <c r="H20" s="26"/>
      <c r="I20" s="27" t="n">
        <f aca="false">COUNTIF(B20:H20,"x")</f>
        <v>0</v>
      </c>
      <c r="J20" s="26"/>
      <c r="K20" s="26"/>
      <c r="L20" s="26"/>
      <c r="M20" s="26"/>
      <c r="N20" s="26"/>
      <c r="O20" s="26"/>
      <c r="P20" s="26"/>
      <c r="Q20" s="27" t="n">
        <f aca="false">COUNTIF(J20:P20,"x")</f>
        <v>0</v>
      </c>
      <c r="R20" s="26" t="str">
        <f aca="false">IF(COUNTA(B20:H20)=0,"",IF(I20&gt;=$B$4,"Yes","No"))</f>
        <v/>
      </c>
      <c r="S20" s="26" t="str">
        <f aca="false">IF(COUNTA(J20:P20)=0,"",IF(Q20&gt;=$B$5,"Yes","No"))</f>
        <v/>
      </c>
      <c r="T20" s="28"/>
    </row>
    <row r="21" customFormat="false" ht="15" hidden="false" customHeight="false" outlineLevel="0" collapsed="false">
      <c r="A21" s="25" t="n">
        <v>46377</v>
      </c>
      <c r="B21" s="26"/>
      <c r="C21" s="26"/>
      <c r="D21" s="26"/>
      <c r="E21" s="26"/>
      <c r="F21" s="26"/>
      <c r="G21" s="26"/>
      <c r="H21" s="26"/>
      <c r="I21" s="27" t="n">
        <f aca="false">COUNTIF(B21:H21,"x")</f>
        <v>0</v>
      </c>
      <c r="J21" s="26"/>
      <c r="K21" s="26"/>
      <c r="L21" s="26"/>
      <c r="M21" s="26"/>
      <c r="N21" s="26"/>
      <c r="O21" s="26"/>
      <c r="P21" s="26"/>
      <c r="Q21" s="27" t="n">
        <f aca="false">COUNTIF(J21:P21,"x")</f>
        <v>0</v>
      </c>
      <c r="R21" s="26" t="str">
        <f aca="false">IF(COUNTA(B21:H21)=0,"",IF(I21&gt;=$B$4,"Yes","No"))</f>
        <v/>
      </c>
      <c r="S21" s="26" t="str">
        <f aca="false">IF(COUNTA(J21:P21)=0,"",IF(Q21&gt;=$B$5,"Yes","No"))</f>
        <v/>
      </c>
      <c r="T21" s="28"/>
    </row>
    <row r="22" customFormat="false" ht="15" hidden="false" customHeight="false" outlineLevel="0" collapsed="false">
      <c r="A22" s="25" t="n">
        <v>46384</v>
      </c>
      <c r="B22" s="26"/>
      <c r="C22" s="26"/>
      <c r="D22" s="26"/>
      <c r="E22" s="26"/>
      <c r="F22" s="26"/>
      <c r="G22" s="26"/>
      <c r="H22" s="26"/>
      <c r="I22" s="27" t="n">
        <f aca="false">COUNTIF(B22:H22,"x")</f>
        <v>0</v>
      </c>
      <c r="J22" s="26"/>
      <c r="K22" s="26"/>
      <c r="L22" s="26"/>
      <c r="M22" s="26"/>
      <c r="N22" s="26"/>
      <c r="O22" s="26"/>
      <c r="P22" s="26"/>
      <c r="Q22" s="27" t="n">
        <f aca="false">COUNTIF(J22:P22,"x")</f>
        <v>0</v>
      </c>
      <c r="R22" s="26" t="str">
        <f aca="false">IF(COUNTA(B22:H22)=0,"",IF(I22&gt;=$B$4,"Yes","No"))</f>
        <v/>
      </c>
      <c r="S22" s="26" t="str">
        <f aca="false">IF(COUNTA(J22:P22)=0,"",IF(Q22&gt;=$B$5,"Yes","No"))</f>
        <v/>
      </c>
      <c r="T22" s="28"/>
    </row>
    <row r="24" customFormat="false" ht="15" hidden="false" customHeight="false" outlineLevel="0" collapsed="false">
      <c r="A24" s="3" t="s">
        <v>68</v>
      </c>
    </row>
    <row r="25" customFormat="false" ht="15" hidden="false" customHeight="false" outlineLevel="0" collapsed="false">
      <c r="A25" s="4" t="s">
        <v>69</v>
      </c>
      <c r="B25" s="29" t="n">
        <f aca="false">SUM(I11:I22)</f>
        <v>0</v>
      </c>
    </row>
    <row r="26" customFormat="false" ht="15" hidden="false" customHeight="false" outlineLevel="0" collapsed="false">
      <c r="A26" s="4" t="s">
        <v>70</v>
      </c>
      <c r="B26" s="29" t="n">
        <f aca="false">SUM(Q11:Q22)</f>
        <v>0</v>
      </c>
    </row>
    <row r="27" customFormat="false" ht="15" hidden="false" customHeight="false" outlineLevel="0" collapsed="false">
      <c r="A27" s="4" t="s">
        <v>71</v>
      </c>
      <c r="B27" s="29" t="str">
        <f aca="false">COUNTIF(R11:R22,"Yes")&amp;" of "&amp;COUNTA(R11:R22)-COUNTBLANK(R11:R22)</f>
        <v>0 of 0</v>
      </c>
    </row>
    <row r="28" customFormat="false" ht="15" hidden="false" customHeight="false" outlineLevel="0" collapsed="false">
      <c r="A28" s="4" t="s">
        <v>72</v>
      </c>
      <c r="B28" s="29" t="str">
        <f aca="false">COUNTIF(S11:S22,"Yes")&amp;" of "&amp;COUNTA(S11:S22)-COUNTBLANK(S11:S22)</f>
        <v>0 of 0</v>
      </c>
    </row>
  </sheetData>
  <conditionalFormatting sqref="B11:H22">
    <cfRule type="cellIs" priority="2" operator="equal" aboveAverage="0" equalAverage="0" bottom="0" percent="0" rank="0" text="" dxfId="4">
      <formula>"x"</formula>
    </cfRule>
  </conditionalFormatting>
  <conditionalFormatting sqref="J11:P22">
    <cfRule type="cellIs" priority="3" operator="equal" aboveAverage="0" equalAverage="0" bottom="0" percent="0" rank="0" text="" dxfId="5">
      <formula>"x"</formula>
    </cfRule>
  </conditionalFormatting>
  <conditionalFormatting sqref="R11:S22">
    <cfRule type="cellIs" priority="4" operator="equal" aboveAverage="0" equalAverage="0" bottom="0" percent="0" rank="0" text="" dxfId="1">
      <formula>"Yes"</formula>
    </cfRule>
    <cfRule type="cellIs" priority="5" operator="equal" aboveAverage="0" equalAverage="0" bottom="0" percent="0" rank="0" text="" dxfId="2">
      <formula>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2026-10-12T21:13:55Z</dcterms:created>
  <dc:creator>openpyxl</dc:creator>
  <dc:description/>
  <dc:language>en-US</dc:language>
  <cp:lastModifiedBy/>
  <dcterms:modified xsi:type="dcterms:W3CDTF">2026-10-12T21:13:55Z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